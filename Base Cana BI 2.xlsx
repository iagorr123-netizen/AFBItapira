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go\Desktop\Projeto AFB Itapira - Automação de dados\"/>
    </mc:Choice>
  </mc:AlternateContent>
  <xr:revisionPtr revIDLastSave="0" documentId="13_ncr:1_{9F6FD7B1-FF4B-42AE-B369-33857F8886DC}" xr6:coauthVersionLast="47" xr6:coauthVersionMax="47" xr10:uidLastSave="{00000000-0000-0000-0000-000000000000}"/>
  <bookViews>
    <workbookView xWindow="-108" yWindow="-108" windowWidth="23256" windowHeight="12576" xr2:uid="{966E7219-A113-4A27-A97B-015265CE31ED}"/>
  </bookViews>
  <sheets>
    <sheet name="Colheita Base" sheetId="6" r:id="rId1"/>
    <sheet name="Talhao Dados" sheetId="9" r:id="rId2"/>
    <sheet name="Talhão Base" sheetId="4" r:id="rId3"/>
    <sheet name="Variedade" sheetId="5" r:id="rId4"/>
    <sheet name="Ano base" sheetId="2" r:id="rId5"/>
    <sheet name="Corte Base" sheetId="3" r:id="rId6"/>
    <sheet name="Índice Pluviométrico" sheetId="7" r:id="rId7"/>
    <sheet name="ATR" sheetId="8" r:id="rId8"/>
  </sheets>
  <definedNames>
    <definedName name="_xlnm._FilterDatabase" localSheetId="0" hidden="1">'Colheita Base'!$A$1:$L$788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88" i="6" l="1"/>
  <c r="H788" i="6" s="1"/>
  <c r="B787" i="6"/>
  <c r="H787" i="6" s="1"/>
  <c r="B786" i="6"/>
  <c r="H786" i="6" s="1"/>
  <c r="B785" i="6"/>
  <c r="H785" i="6" s="1"/>
  <c r="B784" i="6"/>
  <c r="H784" i="6" s="1"/>
  <c r="B783" i="6"/>
  <c r="H783" i="6" s="1"/>
  <c r="B782" i="6"/>
  <c r="H782" i="6" s="1"/>
  <c r="B781" i="6"/>
  <c r="H781" i="6" s="1"/>
  <c r="B780" i="6"/>
  <c r="H780" i="6" s="1"/>
  <c r="B779" i="6"/>
  <c r="H779" i="6" s="1"/>
  <c r="B778" i="6"/>
  <c r="H778" i="6" s="1"/>
  <c r="B777" i="6"/>
  <c r="H777" i="6" s="1"/>
  <c r="B776" i="6"/>
  <c r="H776" i="6" s="1"/>
  <c r="B775" i="6"/>
  <c r="H775" i="6" s="1"/>
  <c r="B774" i="6"/>
  <c r="H774" i="6" s="1"/>
  <c r="B773" i="6"/>
  <c r="H773" i="6" s="1"/>
  <c r="B772" i="6"/>
  <c r="H772" i="6" s="1"/>
  <c r="B771" i="6"/>
  <c r="H771" i="6" s="1"/>
  <c r="B770" i="6"/>
  <c r="H770" i="6" s="1"/>
  <c r="B769" i="6"/>
  <c r="H769" i="6" s="1"/>
  <c r="B768" i="6"/>
  <c r="H768" i="6" s="1"/>
  <c r="B767" i="6"/>
  <c r="H767" i="6" s="1"/>
  <c r="B766" i="6"/>
  <c r="H766" i="6" s="1"/>
  <c r="B765" i="6"/>
  <c r="H765" i="6" s="1"/>
  <c r="B764" i="6"/>
  <c r="H764" i="6" s="1"/>
  <c r="B763" i="6"/>
  <c r="H763" i="6" s="1"/>
  <c r="B762" i="6"/>
  <c r="H762" i="6" s="1"/>
  <c r="B761" i="6"/>
  <c r="H761" i="6" s="1"/>
  <c r="B760" i="6"/>
  <c r="H760" i="6" s="1"/>
  <c r="B759" i="6"/>
  <c r="H759" i="6" s="1"/>
  <c r="B758" i="6"/>
  <c r="H758" i="6" s="1"/>
  <c r="B757" i="6"/>
  <c r="H757" i="6" s="1"/>
  <c r="B756" i="6"/>
  <c r="H756" i="6" s="1"/>
  <c r="B755" i="6"/>
  <c r="H755" i="6" s="1"/>
  <c r="B754" i="6"/>
  <c r="H754" i="6" s="1"/>
  <c r="B753" i="6"/>
  <c r="H753" i="6" s="1"/>
  <c r="B752" i="6"/>
  <c r="H752" i="6" s="1"/>
  <c r="B751" i="6"/>
  <c r="H751" i="6" s="1"/>
  <c r="B750" i="6"/>
  <c r="H750" i="6" s="1"/>
  <c r="B749" i="6"/>
  <c r="H749" i="6" s="1"/>
  <c r="B748" i="6"/>
  <c r="H748" i="6" s="1"/>
  <c r="B747" i="6"/>
  <c r="H747" i="6" s="1"/>
  <c r="B746" i="6"/>
  <c r="H746" i="6" s="1"/>
  <c r="B745" i="6"/>
  <c r="H745" i="6" s="1"/>
  <c r="B744" i="6"/>
  <c r="H744" i="6" s="1"/>
  <c r="B743" i="6"/>
  <c r="H743" i="6" s="1"/>
  <c r="B742" i="6"/>
  <c r="H742" i="6" s="1"/>
  <c r="B741" i="6"/>
  <c r="H741" i="6" s="1"/>
  <c r="B740" i="6"/>
  <c r="H740" i="6" s="1"/>
  <c r="I740" i="6" s="1"/>
  <c r="B739" i="6"/>
  <c r="H739" i="6" s="1"/>
  <c r="B738" i="6"/>
  <c r="H738" i="6" s="1"/>
  <c r="B737" i="6"/>
  <c r="H737" i="6" s="1"/>
  <c r="B736" i="6"/>
  <c r="H736" i="6" s="1"/>
  <c r="B735" i="6"/>
  <c r="H735" i="6" s="1"/>
  <c r="B734" i="6"/>
  <c r="H734" i="6" s="1"/>
  <c r="B733" i="6"/>
  <c r="H733" i="6" s="1"/>
  <c r="B732" i="6"/>
  <c r="H732" i="6" s="1"/>
  <c r="B731" i="6"/>
  <c r="H731" i="6" s="1"/>
  <c r="B730" i="6"/>
  <c r="H730" i="6" s="1"/>
  <c r="B729" i="6"/>
  <c r="H729" i="6" s="1"/>
  <c r="B728" i="6"/>
  <c r="H728" i="6" s="1"/>
  <c r="B727" i="6"/>
  <c r="H727" i="6" s="1"/>
  <c r="B726" i="6"/>
  <c r="H726" i="6" s="1"/>
  <c r="B725" i="6"/>
  <c r="H725" i="6" s="1"/>
  <c r="B724" i="6"/>
  <c r="H724" i="6" s="1"/>
  <c r="B723" i="6"/>
  <c r="H723" i="6" s="1"/>
  <c r="B722" i="6"/>
  <c r="H722" i="6" s="1"/>
  <c r="B721" i="6"/>
  <c r="H721" i="6" s="1"/>
  <c r="B720" i="6"/>
  <c r="H720" i="6" s="1"/>
  <c r="B719" i="6"/>
  <c r="H719" i="6" s="1"/>
  <c r="B718" i="6"/>
  <c r="H718" i="6" s="1"/>
  <c r="B717" i="6"/>
  <c r="H717" i="6" s="1"/>
  <c r="B716" i="6"/>
  <c r="H716" i="6" s="1"/>
  <c r="B715" i="6"/>
  <c r="H715" i="6" s="1"/>
  <c r="B714" i="6"/>
  <c r="H714" i="6" s="1"/>
  <c r="B713" i="6"/>
  <c r="H713" i="6" s="1"/>
  <c r="B712" i="6"/>
  <c r="H712" i="6" s="1"/>
  <c r="B711" i="6"/>
  <c r="H711" i="6" s="1"/>
  <c r="B710" i="6"/>
  <c r="H710" i="6" s="1"/>
  <c r="B709" i="6"/>
  <c r="H709" i="6" s="1"/>
  <c r="B708" i="6"/>
  <c r="H708" i="6" s="1"/>
  <c r="B707" i="6"/>
  <c r="H707" i="6" s="1"/>
  <c r="B706" i="6"/>
  <c r="H706" i="6" s="1"/>
  <c r="B705" i="6"/>
  <c r="H705" i="6" s="1"/>
  <c r="B704" i="6"/>
  <c r="H704" i="6" s="1"/>
  <c r="B703" i="6"/>
  <c r="H703" i="6" s="1"/>
  <c r="B702" i="6"/>
  <c r="H702" i="6" s="1"/>
  <c r="B701" i="6"/>
  <c r="H701" i="6" s="1"/>
  <c r="B700" i="6"/>
  <c r="H700" i="6" s="1"/>
  <c r="B699" i="6"/>
  <c r="H699" i="6" s="1"/>
  <c r="B698" i="6"/>
  <c r="H698" i="6" s="1"/>
  <c r="B697" i="6"/>
  <c r="H697" i="6" s="1"/>
  <c r="B696" i="6"/>
  <c r="H696" i="6" s="1"/>
  <c r="B695" i="6"/>
  <c r="H695" i="6" s="1"/>
  <c r="B694" i="6"/>
  <c r="H694" i="6" s="1"/>
  <c r="B693" i="6"/>
  <c r="H693" i="6" s="1"/>
  <c r="B692" i="6"/>
  <c r="H692" i="6" s="1"/>
  <c r="B691" i="6"/>
  <c r="H691" i="6" s="1"/>
  <c r="B690" i="6"/>
  <c r="H690" i="6" s="1"/>
  <c r="B689" i="6"/>
  <c r="H689" i="6" s="1"/>
  <c r="B688" i="6"/>
  <c r="H688" i="6" s="1"/>
  <c r="B687" i="6"/>
  <c r="H687" i="6" s="1"/>
  <c r="B686" i="6"/>
  <c r="H686" i="6" s="1"/>
  <c r="B685" i="6"/>
  <c r="H685" i="6" s="1"/>
  <c r="B684" i="6"/>
  <c r="H684" i="6" s="1"/>
  <c r="B683" i="6"/>
  <c r="H683" i="6" s="1"/>
  <c r="B682" i="6"/>
  <c r="H682" i="6" s="1"/>
  <c r="B681" i="6"/>
  <c r="H681" i="6" s="1"/>
  <c r="B680" i="6"/>
  <c r="H680" i="6" s="1"/>
  <c r="B679" i="6"/>
  <c r="H679" i="6" s="1"/>
  <c r="B678" i="6"/>
  <c r="H678" i="6" s="1"/>
  <c r="B677" i="6"/>
  <c r="H677" i="6" s="1"/>
  <c r="I677" i="6" s="1"/>
  <c r="B676" i="6"/>
  <c r="H676" i="6" s="1"/>
  <c r="B675" i="6"/>
  <c r="H675" i="6" s="1"/>
  <c r="B674" i="6"/>
  <c r="H674" i="6" s="1"/>
  <c r="B673" i="6"/>
  <c r="H673" i="6" s="1"/>
  <c r="B672" i="6"/>
  <c r="H672" i="6" s="1"/>
  <c r="B671" i="6"/>
  <c r="H671" i="6" s="1"/>
  <c r="B670" i="6"/>
  <c r="H670" i="6" s="1"/>
  <c r="B669" i="6"/>
  <c r="H669" i="6" s="1"/>
  <c r="B668" i="6"/>
  <c r="H668" i="6" s="1"/>
  <c r="B667" i="6"/>
  <c r="H667" i="6" s="1"/>
  <c r="B666" i="6"/>
  <c r="H666" i="6" s="1"/>
  <c r="B665" i="6"/>
  <c r="H665" i="6" s="1"/>
  <c r="B664" i="6"/>
  <c r="H664" i="6" s="1"/>
  <c r="B663" i="6"/>
  <c r="H663" i="6" s="1"/>
  <c r="B662" i="6"/>
  <c r="H662" i="6" s="1"/>
  <c r="B661" i="6"/>
  <c r="H661" i="6" s="1"/>
  <c r="B660" i="6"/>
  <c r="H660" i="6" s="1"/>
  <c r="B659" i="6"/>
  <c r="H659" i="6" s="1"/>
  <c r="B658" i="6"/>
  <c r="H658" i="6" s="1"/>
  <c r="B657" i="6"/>
  <c r="H657" i="6" s="1"/>
  <c r="B656" i="6"/>
  <c r="H656" i="6" s="1"/>
  <c r="B655" i="6"/>
  <c r="H655" i="6" s="1"/>
  <c r="B654" i="6"/>
  <c r="H654" i="6" s="1"/>
  <c r="B653" i="6"/>
  <c r="H653" i="6" s="1"/>
  <c r="B652" i="6"/>
  <c r="H652" i="6" s="1"/>
  <c r="B651" i="6"/>
  <c r="H651" i="6" s="1"/>
  <c r="B650" i="6"/>
  <c r="H650" i="6" s="1"/>
  <c r="B649" i="6"/>
  <c r="H649" i="6" s="1"/>
  <c r="B648" i="6"/>
  <c r="H648" i="6" s="1"/>
  <c r="B647" i="6"/>
  <c r="H647" i="6" s="1"/>
  <c r="B646" i="6"/>
  <c r="H646" i="6" s="1"/>
  <c r="B645" i="6"/>
  <c r="H645" i="6" s="1"/>
  <c r="B644" i="6"/>
  <c r="H644" i="6" s="1"/>
  <c r="B643" i="6"/>
  <c r="H643" i="6" s="1"/>
  <c r="B642" i="6"/>
  <c r="H642" i="6" s="1"/>
  <c r="B641" i="6"/>
  <c r="H641" i="6" s="1"/>
  <c r="B640" i="6"/>
  <c r="H640" i="6" s="1"/>
  <c r="B639" i="6"/>
  <c r="H639" i="6" s="1"/>
  <c r="B638" i="6"/>
  <c r="H638" i="6" s="1"/>
  <c r="B637" i="6"/>
  <c r="H637" i="6" s="1"/>
  <c r="B636" i="6"/>
  <c r="H636" i="6" s="1"/>
  <c r="B635" i="6"/>
  <c r="H635" i="6" s="1"/>
  <c r="B634" i="6"/>
  <c r="H634" i="6" s="1"/>
  <c r="B633" i="6"/>
  <c r="H633" i="6" s="1"/>
  <c r="B632" i="6"/>
  <c r="H632" i="6" s="1"/>
  <c r="B631" i="6"/>
  <c r="H631" i="6" s="1"/>
  <c r="B630" i="6"/>
  <c r="H630" i="6" s="1"/>
  <c r="B629" i="6"/>
  <c r="H629" i="6" s="1"/>
  <c r="B628" i="6"/>
  <c r="H628" i="6" s="1"/>
  <c r="B627" i="6"/>
  <c r="H627" i="6" s="1"/>
  <c r="B626" i="6"/>
  <c r="H626" i="6" s="1"/>
  <c r="B625" i="6"/>
  <c r="H625" i="6" s="1"/>
  <c r="B624" i="6"/>
  <c r="H624" i="6" s="1"/>
  <c r="B623" i="6"/>
  <c r="H623" i="6" s="1"/>
  <c r="B622" i="6"/>
  <c r="H622" i="6" s="1"/>
  <c r="B621" i="6"/>
  <c r="H621" i="6" s="1"/>
  <c r="B620" i="6"/>
  <c r="H620" i="6" s="1"/>
  <c r="B619" i="6"/>
  <c r="H619" i="6" s="1"/>
  <c r="B618" i="6"/>
  <c r="H618" i="6" s="1"/>
  <c r="B617" i="6"/>
  <c r="H617" i="6" s="1"/>
  <c r="B616" i="6"/>
  <c r="H616" i="6" s="1"/>
  <c r="B615" i="6"/>
  <c r="H615" i="6" s="1"/>
  <c r="I615" i="6" s="1"/>
  <c r="B614" i="6"/>
  <c r="H614" i="6" s="1"/>
  <c r="B613" i="6"/>
  <c r="H613" i="6" s="1"/>
  <c r="B612" i="6"/>
  <c r="H612" i="6" s="1"/>
  <c r="B611" i="6"/>
  <c r="H611" i="6" s="1"/>
  <c r="B610" i="6"/>
  <c r="H610" i="6" s="1"/>
  <c r="B609" i="6"/>
  <c r="H609" i="6" s="1"/>
  <c r="B608" i="6"/>
  <c r="H608" i="6" s="1"/>
  <c r="B607" i="6"/>
  <c r="H607" i="6" s="1"/>
  <c r="B606" i="6"/>
  <c r="H606" i="6" s="1"/>
  <c r="B605" i="6"/>
  <c r="H605" i="6" s="1"/>
  <c r="B604" i="6"/>
  <c r="H604" i="6" s="1"/>
  <c r="B603" i="6"/>
  <c r="H603" i="6" s="1"/>
  <c r="B602" i="6"/>
  <c r="H602" i="6" s="1"/>
  <c r="B601" i="6"/>
  <c r="H601" i="6" s="1"/>
  <c r="B600" i="6"/>
  <c r="H600" i="6" s="1"/>
  <c r="B599" i="6"/>
  <c r="H599" i="6" s="1"/>
  <c r="B598" i="6"/>
  <c r="H598" i="6" s="1"/>
  <c r="B597" i="6"/>
  <c r="H597" i="6" s="1"/>
  <c r="B596" i="6"/>
  <c r="H596" i="6" s="1"/>
  <c r="B595" i="6"/>
  <c r="H595" i="6" s="1"/>
  <c r="B594" i="6"/>
  <c r="H594" i="6" s="1"/>
  <c r="B593" i="6"/>
  <c r="H593" i="6" s="1"/>
  <c r="B592" i="6"/>
  <c r="H592" i="6" s="1"/>
  <c r="B591" i="6"/>
  <c r="H591" i="6" s="1"/>
  <c r="B590" i="6"/>
  <c r="H590" i="6" s="1"/>
  <c r="B589" i="6"/>
  <c r="H589" i="6" s="1"/>
  <c r="B588" i="6"/>
  <c r="H588" i="6" s="1"/>
  <c r="B587" i="6"/>
  <c r="H587" i="6" s="1"/>
  <c r="B586" i="6"/>
  <c r="H586" i="6" s="1"/>
  <c r="B585" i="6"/>
  <c r="H585" i="6" s="1"/>
  <c r="B584" i="6"/>
  <c r="H584" i="6" s="1"/>
  <c r="B583" i="6"/>
  <c r="H583" i="6" s="1"/>
  <c r="B582" i="6"/>
  <c r="H582" i="6" s="1"/>
  <c r="B581" i="6"/>
  <c r="H581" i="6" s="1"/>
  <c r="B580" i="6"/>
  <c r="H580" i="6" s="1"/>
  <c r="B579" i="6"/>
  <c r="H579" i="6" s="1"/>
  <c r="B578" i="6"/>
  <c r="H578" i="6" s="1"/>
  <c r="B577" i="6"/>
  <c r="H577" i="6" s="1"/>
  <c r="B576" i="6"/>
  <c r="H576" i="6" s="1"/>
  <c r="B575" i="6"/>
  <c r="H575" i="6" s="1"/>
  <c r="B574" i="6"/>
  <c r="H574" i="6" s="1"/>
  <c r="B573" i="6"/>
  <c r="H573" i="6" s="1"/>
  <c r="B572" i="6"/>
  <c r="H572" i="6" s="1"/>
  <c r="B571" i="6"/>
  <c r="H571" i="6" s="1"/>
  <c r="B570" i="6"/>
  <c r="H570" i="6" s="1"/>
  <c r="B569" i="6"/>
  <c r="H569" i="6" s="1"/>
  <c r="B568" i="6"/>
  <c r="H568" i="6" s="1"/>
  <c r="B567" i="6"/>
  <c r="H567" i="6" s="1"/>
  <c r="B566" i="6"/>
  <c r="H566" i="6" s="1"/>
  <c r="B565" i="6"/>
  <c r="H565" i="6" s="1"/>
  <c r="B564" i="6"/>
  <c r="H564" i="6" s="1"/>
  <c r="B563" i="6"/>
  <c r="H563" i="6" s="1"/>
  <c r="B562" i="6"/>
  <c r="H562" i="6" s="1"/>
  <c r="B561" i="6"/>
  <c r="H561" i="6" s="1"/>
  <c r="B560" i="6"/>
  <c r="H560" i="6" s="1"/>
  <c r="B559" i="6"/>
  <c r="H559" i="6" s="1"/>
  <c r="B558" i="6"/>
  <c r="H558" i="6" s="1"/>
  <c r="B557" i="6"/>
  <c r="H557" i="6" s="1"/>
  <c r="B556" i="6"/>
  <c r="H556" i="6" s="1"/>
  <c r="B555" i="6"/>
  <c r="H555" i="6" s="1"/>
  <c r="B554" i="6"/>
  <c r="H554" i="6" s="1"/>
  <c r="B553" i="6"/>
  <c r="H553" i="6" s="1"/>
  <c r="I553" i="6" s="1"/>
  <c r="B552" i="6"/>
  <c r="H552" i="6" s="1"/>
  <c r="B551" i="6"/>
  <c r="H551" i="6" s="1"/>
  <c r="B550" i="6"/>
  <c r="H550" i="6" s="1"/>
  <c r="B549" i="6"/>
  <c r="H549" i="6" s="1"/>
  <c r="B548" i="6"/>
  <c r="H548" i="6" s="1"/>
  <c r="B547" i="6"/>
  <c r="H547" i="6" s="1"/>
  <c r="B546" i="6"/>
  <c r="H546" i="6" s="1"/>
  <c r="B545" i="6"/>
  <c r="H545" i="6" s="1"/>
  <c r="B544" i="6"/>
  <c r="H544" i="6" s="1"/>
  <c r="B543" i="6"/>
  <c r="H543" i="6" s="1"/>
  <c r="B542" i="6"/>
  <c r="H542" i="6" s="1"/>
  <c r="B541" i="6"/>
  <c r="H541" i="6" s="1"/>
  <c r="B540" i="6"/>
  <c r="H540" i="6" s="1"/>
  <c r="B539" i="6"/>
  <c r="H539" i="6" s="1"/>
  <c r="B538" i="6"/>
  <c r="H538" i="6" s="1"/>
  <c r="B537" i="6"/>
  <c r="H537" i="6" s="1"/>
  <c r="B536" i="6"/>
  <c r="H536" i="6" s="1"/>
  <c r="B535" i="6"/>
  <c r="H535" i="6" s="1"/>
  <c r="B534" i="6"/>
  <c r="H534" i="6" s="1"/>
  <c r="B533" i="6"/>
  <c r="H533" i="6" s="1"/>
  <c r="B532" i="6"/>
  <c r="H532" i="6" s="1"/>
  <c r="B531" i="6"/>
  <c r="H531" i="6" s="1"/>
  <c r="B530" i="6"/>
  <c r="H530" i="6" s="1"/>
  <c r="B529" i="6"/>
  <c r="H529" i="6" s="1"/>
  <c r="B528" i="6"/>
  <c r="H528" i="6" s="1"/>
  <c r="B527" i="6"/>
  <c r="H527" i="6" s="1"/>
  <c r="B526" i="6"/>
  <c r="H526" i="6" s="1"/>
  <c r="B525" i="6"/>
  <c r="H525" i="6" s="1"/>
  <c r="B524" i="6"/>
  <c r="H524" i="6" s="1"/>
  <c r="B523" i="6"/>
  <c r="H523" i="6" s="1"/>
  <c r="B522" i="6"/>
  <c r="H522" i="6" s="1"/>
  <c r="B521" i="6"/>
  <c r="H521" i="6" s="1"/>
  <c r="B520" i="6"/>
  <c r="H520" i="6" s="1"/>
  <c r="B519" i="6"/>
  <c r="H519" i="6" s="1"/>
  <c r="B518" i="6"/>
  <c r="H518" i="6" s="1"/>
  <c r="B517" i="6"/>
  <c r="H517" i="6" s="1"/>
  <c r="B516" i="6"/>
  <c r="H516" i="6" s="1"/>
  <c r="B515" i="6"/>
  <c r="H515" i="6" s="1"/>
  <c r="B514" i="6"/>
  <c r="H514" i="6" s="1"/>
  <c r="B513" i="6"/>
  <c r="H513" i="6" s="1"/>
  <c r="B512" i="6"/>
  <c r="H512" i="6" s="1"/>
  <c r="B511" i="6"/>
  <c r="H511" i="6" s="1"/>
  <c r="B510" i="6"/>
  <c r="H510" i="6" s="1"/>
  <c r="B509" i="6"/>
  <c r="H509" i="6" s="1"/>
  <c r="B508" i="6"/>
  <c r="H508" i="6" s="1"/>
  <c r="B507" i="6"/>
  <c r="H507" i="6" s="1"/>
  <c r="B506" i="6"/>
  <c r="H506" i="6" s="1"/>
  <c r="B505" i="6"/>
  <c r="H505" i="6" s="1"/>
  <c r="B504" i="6"/>
  <c r="H504" i="6" s="1"/>
  <c r="B503" i="6"/>
  <c r="H503" i="6" s="1"/>
  <c r="B502" i="6"/>
  <c r="H502" i="6" s="1"/>
  <c r="B501" i="6"/>
  <c r="H501" i="6" s="1"/>
  <c r="B500" i="6"/>
  <c r="H500" i="6" s="1"/>
  <c r="B499" i="6"/>
  <c r="H499" i="6" s="1"/>
  <c r="B498" i="6"/>
  <c r="H498" i="6" s="1"/>
  <c r="B497" i="6"/>
  <c r="H497" i="6" s="1"/>
  <c r="B496" i="6"/>
  <c r="H496" i="6" s="1"/>
  <c r="I496" i="6" s="1"/>
  <c r="B495" i="6"/>
  <c r="H495" i="6" s="1"/>
  <c r="B494" i="6"/>
  <c r="H494" i="6" s="1"/>
  <c r="B493" i="6"/>
  <c r="H493" i="6" s="1"/>
  <c r="B492" i="6"/>
  <c r="H492" i="6" s="1"/>
  <c r="B491" i="6"/>
  <c r="H491" i="6" s="1"/>
  <c r="B490" i="6"/>
  <c r="H490" i="6" s="1"/>
  <c r="B489" i="6"/>
  <c r="H489" i="6" s="1"/>
  <c r="B488" i="6"/>
  <c r="H488" i="6" s="1"/>
  <c r="B487" i="6"/>
  <c r="H487" i="6" s="1"/>
  <c r="B486" i="6"/>
  <c r="H486" i="6" s="1"/>
  <c r="B485" i="6"/>
  <c r="H485" i="6" s="1"/>
  <c r="B484" i="6"/>
  <c r="H484" i="6" s="1"/>
  <c r="B483" i="6"/>
  <c r="H483" i="6" s="1"/>
  <c r="B482" i="6"/>
  <c r="H482" i="6" s="1"/>
  <c r="B481" i="6"/>
  <c r="H481" i="6" s="1"/>
  <c r="B480" i="6"/>
  <c r="H480" i="6" s="1"/>
  <c r="B479" i="6"/>
  <c r="H479" i="6" s="1"/>
  <c r="B478" i="6"/>
  <c r="H478" i="6" s="1"/>
  <c r="B477" i="6"/>
  <c r="H477" i="6" s="1"/>
  <c r="B476" i="6"/>
  <c r="H476" i="6" s="1"/>
  <c r="B475" i="6"/>
  <c r="H475" i="6" s="1"/>
  <c r="B474" i="6"/>
  <c r="H474" i="6" s="1"/>
  <c r="B473" i="6"/>
  <c r="H473" i="6" s="1"/>
  <c r="B472" i="6"/>
  <c r="H472" i="6" s="1"/>
  <c r="B471" i="6"/>
  <c r="H471" i="6" s="1"/>
  <c r="B470" i="6"/>
  <c r="H470" i="6" s="1"/>
  <c r="B469" i="6"/>
  <c r="H469" i="6" s="1"/>
  <c r="B468" i="6"/>
  <c r="H468" i="6" s="1"/>
  <c r="B467" i="6"/>
  <c r="H467" i="6" s="1"/>
  <c r="B466" i="6"/>
  <c r="H466" i="6" s="1"/>
  <c r="B465" i="6"/>
  <c r="H465" i="6" s="1"/>
  <c r="B464" i="6"/>
  <c r="H464" i="6" s="1"/>
  <c r="B463" i="6"/>
  <c r="H463" i="6" s="1"/>
  <c r="B462" i="6"/>
  <c r="H462" i="6" s="1"/>
  <c r="B461" i="6"/>
  <c r="H461" i="6" s="1"/>
  <c r="B460" i="6"/>
  <c r="H460" i="6" s="1"/>
  <c r="B459" i="6"/>
  <c r="H459" i="6" s="1"/>
  <c r="B458" i="6"/>
  <c r="H458" i="6" s="1"/>
  <c r="B457" i="6"/>
  <c r="H457" i="6" s="1"/>
  <c r="B456" i="6"/>
  <c r="H456" i="6" s="1"/>
  <c r="B455" i="6"/>
  <c r="H455" i="6" s="1"/>
  <c r="B454" i="6"/>
  <c r="H454" i="6" s="1"/>
  <c r="B453" i="6"/>
  <c r="H453" i="6" s="1"/>
  <c r="B452" i="6"/>
  <c r="H452" i="6" s="1"/>
  <c r="B451" i="6"/>
  <c r="H451" i="6" s="1"/>
  <c r="B450" i="6"/>
  <c r="H450" i="6" s="1"/>
  <c r="B449" i="6"/>
  <c r="H449" i="6" s="1"/>
  <c r="B448" i="6"/>
  <c r="H448" i="6" s="1"/>
  <c r="B447" i="6"/>
  <c r="H447" i="6" s="1"/>
  <c r="B446" i="6"/>
  <c r="H446" i="6" s="1"/>
  <c r="B445" i="6"/>
  <c r="H445" i="6" s="1"/>
  <c r="I445" i="6" s="1"/>
  <c r="B444" i="6"/>
  <c r="H444" i="6" s="1"/>
  <c r="B443" i="6"/>
  <c r="H443" i="6" s="1"/>
  <c r="B442" i="6"/>
  <c r="H442" i="6" s="1"/>
  <c r="B441" i="6"/>
  <c r="H441" i="6" s="1"/>
  <c r="B440" i="6"/>
  <c r="H440" i="6" s="1"/>
  <c r="B439" i="6"/>
  <c r="H439" i="6" s="1"/>
  <c r="B438" i="6"/>
  <c r="H438" i="6" s="1"/>
  <c r="B437" i="6"/>
  <c r="H437" i="6" s="1"/>
  <c r="B436" i="6"/>
  <c r="H436" i="6" s="1"/>
  <c r="B435" i="6"/>
  <c r="H435" i="6" s="1"/>
  <c r="B434" i="6"/>
  <c r="H434" i="6" s="1"/>
  <c r="B433" i="6"/>
  <c r="H433" i="6" s="1"/>
  <c r="B432" i="6"/>
  <c r="H432" i="6" s="1"/>
  <c r="B431" i="6"/>
  <c r="H431" i="6" s="1"/>
  <c r="B430" i="6"/>
  <c r="H430" i="6" s="1"/>
  <c r="B429" i="6"/>
  <c r="H429" i="6" s="1"/>
  <c r="B428" i="6"/>
  <c r="H428" i="6" s="1"/>
  <c r="B427" i="6"/>
  <c r="H427" i="6" s="1"/>
  <c r="B426" i="6"/>
  <c r="H426" i="6" s="1"/>
  <c r="B425" i="6"/>
  <c r="H425" i="6" s="1"/>
  <c r="B424" i="6"/>
  <c r="H424" i="6" s="1"/>
  <c r="B423" i="6"/>
  <c r="H423" i="6" s="1"/>
  <c r="B422" i="6"/>
  <c r="H422" i="6" s="1"/>
  <c r="B421" i="6"/>
  <c r="H421" i="6" s="1"/>
  <c r="B420" i="6"/>
  <c r="H420" i="6" s="1"/>
  <c r="B419" i="6"/>
  <c r="H419" i="6" s="1"/>
  <c r="B418" i="6"/>
  <c r="H418" i="6" s="1"/>
  <c r="B417" i="6"/>
  <c r="H417" i="6" s="1"/>
  <c r="B416" i="6"/>
  <c r="H416" i="6" s="1"/>
  <c r="B415" i="6"/>
  <c r="H415" i="6" s="1"/>
  <c r="B414" i="6"/>
  <c r="H414" i="6" s="1"/>
  <c r="B413" i="6"/>
  <c r="H413" i="6" s="1"/>
  <c r="B412" i="6"/>
  <c r="H412" i="6" s="1"/>
  <c r="B411" i="6"/>
  <c r="H411" i="6" s="1"/>
  <c r="B410" i="6"/>
  <c r="H410" i="6" s="1"/>
  <c r="B409" i="6"/>
  <c r="H409" i="6" s="1"/>
  <c r="B408" i="6"/>
  <c r="H408" i="6" s="1"/>
  <c r="B407" i="6"/>
  <c r="H407" i="6" s="1"/>
  <c r="B406" i="6"/>
  <c r="H406" i="6" s="1"/>
  <c r="B405" i="6"/>
  <c r="H405" i="6" s="1"/>
  <c r="B404" i="6"/>
  <c r="H404" i="6" s="1"/>
  <c r="B403" i="6"/>
  <c r="H403" i="6" s="1"/>
  <c r="B402" i="6"/>
  <c r="H402" i="6" s="1"/>
  <c r="B401" i="6"/>
  <c r="H401" i="6" s="1"/>
  <c r="B400" i="6"/>
  <c r="H400" i="6" s="1"/>
  <c r="B399" i="6"/>
  <c r="H399" i="6" s="1"/>
  <c r="B398" i="6"/>
  <c r="H398" i="6" s="1"/>
  <c r="B397" i="6"/>
  <c r="H397" i="6" s="1"/>
  <c r="B396" i="6"/>
  <c r="H396" i="6" s="1"/>
  <c r="B395" i="6"/>
  <c r="H395" i="6" s="1"/>
  <c r="B394" i="6"/>
  <c r="H394" i="6" s="1"/>
  <c r="I394" i="6" s="1"/>
  <c r="B393" i="6"/>
  <c r="H393" i="6" s="1"/>
  <c r="B392" i="6"/>
  <c r="H392" i="6" s="1"/>
  <c r="B391" i="6"/>
  <c r="H391" i="6" s="1"/>
  <c r="B390" i="6"/>
  <c r="H390" i="6" s="1"/>
  <c r="B389" i="6"/>
  <c r="H389" i="6" s="1"/>
  <c r="B388" i="6"/>
  <c r="H388" i="6" s="1"/>
  <c r="B387" i="6"/>
  <c r="H387" i="6" s="1"/>
  <c r="B386" i="6"/>
  <c r="H386" i="6" s="1"/>
  <c r="B385" i="6"/>
  <c r="H385" i="6" s="1"/>
  <c r="B384" i="6"/>
  <c r="H384" i="6" s="1"/>
  <c r="B383" i="6"/>
  <c r="H383" i="6" s="1"/>
  <c r="B382" i="6"/>
  <c r="H382" i="6" s="1"/>
  <c r="B381" i="6"/>
  <c r="H381" i="6" s="1"/>
  <c r="B380" i="6"/>
  <c r="H380" i="6" s="1"/>
  <c r="B379" i="6"/>
  <c r="H379" i="6" s="1"/>
  <c r="B378" i="6"/>
  <c r="H378" i="6" s="1"/>
  <c r="B377" i="6"/>
  <c r="H377" i="6" s="1"/>
  <c r="B376" i="6"/>
  <c r="H376" i="6" s="1"/>
  <c r="B375" i="6"/>
  <c r="H375" i="6" s="1"/>
  <c r="B374" i="6"/>
  <c r="H374" i="6" s="1"/>
  <c r="B373" i="6"/>
  <c r="H373" i="6" s="1"/>
  <c r="B372" i="6"/>
  <c r="H372" i="6" s="1"/>
  <c r="B371" i="6"/>
  <c r="H371" i="6" s="1"/>
  <c r="B370" i="6"/>
  <c r="H370" i="6" s="1"/>
  <c r="B369" i="6"/>
  <c r="H369" i="6" s="1"/>
  <c r="B368" i="6"/>
  <c r="H368" i="6" s="1"/>
  <c r="B367" i="6"/>
  <c r="H367" i="6" s="1"/>
  <c r="B366" i="6"/>
  <c r="H366" i="6" s="1"/>
  <c r="B365" i="6"/>
  <c r="H365" i="6" s="1"/>
  <c r="B364" i="6"/>
  <c r="H364" i="6" s="1"/>
  <c r="B363" i="6"/>
  <c r="H363" i="6" s="1"/>
  <c r="B362" i="6"/>
  <c r="H362" i="6" s="1"/>
  <c r="B361" i="6"/>
  <c r="H361" i="6" s="1"/>
  <c r="B360" i="6"/>
  <c r="H360" i="6" s="1"/>
  <c r="B359" i="6"/>
  <c r="H359" i="6" s="1"/>
  <c r="B358" i="6"/>
  <c r="H358" i="6" s="1"/>
  <c r="B357" i="6"/>
  <c r="H357" i="6" s="1"/>
  <c r="B356" i="6"/>
  <c r="H356" i="6" s="1"/>
  <c r="B355" i="6"/>
  <c r="H355" i="6" s="1"/>
  <c r="B354" i="6"/>
  <c r="H354" i="6" s="1"/>
  <c r="B353" i="6"/>
  <c r="H353" i="6" s="1"/>
  <c r="B352" i="6"/>
  <c r="H352" i="6" s="1"/>
  <c r="B351" i="6"/>
  <c r="H351" i="6" s="1"/>
  <c r="B350" i="6"/>
  <c r="H350" i="6" s="1"/>
  <c r="B349" i="6"/>
  <c r="H349" i="6" s="1"/>
  <c r="B348" i="6"/>
  <c r="H348" i="6" s="1"/>
  <c r="B347" i="6"/>
  <c r="H347" i="6" s="1"/>
  <c r="B346" i="6"/>
  <c r="H346" i="6" s="1"/>
  <c r="B345" i="6"/>
  <c r="H345" i="6" s="1"/>
  <c r="B344" i="6"/>
  <c r="H344" i="6" s="1"/>
  <c r="B343" i="6"/>
  <c r="H343" i="6" s="1"/>
  <c r="B342" i="6"/>
  <c r="H342" i="6" s="1"/>
  <c r="B341" i="6"/>
  <c r="H341" i="6" s="1"/>
  <c r="B340" i="6"/>
  <c r="H340" i="6" s="1"/>
  <c r="B339" i="6"/>
  <c r="H339" i="6" s="1"/>
  <c r="B338" i="6"/>
  <c r="H338" i="6" s="1"/>
  <c r="B337" i="6"/>
  <c r="H337" i="6" s="1"/>
  <c r="B336" i="6"/>
  <c r="H336" i="6" s="1"/>
  <c r="B335" i="6"/>
  <c r="H335" i="6" s="1"/>
  <c r="B334" i="6"/>
  <c r="H334" i="6" s="1"/>
  <c r="B333" i="6"/>
  <c r="H333" i="6" s="1"/>
  <c r="B332" i="6"/>
  <c r="H332" i="6" s="1"/>
  <c r="B331" i="6"/>
  <c r="H331" i="6" s="1"/>
  <c r="B330" i="6"/>
  <c r="H330" i="6" s="1"/>
  <c r="B329" i="6"/>
  <c r="H329" i="6" s="1"/>
  <c r="B328" i="6"/>
  <c r="H328" i="6" s="1"/>
  <c r="B327" i="6"/>
  <c r="H327" i="6" s="1"/>
  <c r="B326" i="6"/>
  <c r="H326" i="6" s="1"/>
  <c r="B325" i="6"/>
  <c r="H325" i="6" s="1"/>
  <c r="B324" i="6"/>
  <c r="H324" i="6" s="1"/>
  <c r="B323" i="6"/>
  <c r="H323" i="6" s="1"/>
  <c r="B322" i="6"/>
  <c r="H322" i="6" s="1"/>
  <c r="B321" i="6"/>
  <c r="H321" i="6" s="1"/>
  <c r="B320" i="6"/>
  <c r="H320" i="6" s="1"/>
  <c r="B319" i="6"/>
  <c r="H319" i="6" s="1"/>
  <c r="B318" i="6"/>
  <c r="H318" i="6" s="1"/>
  <c r="B317" i="6"/>
  <c r="H317" i="6" s="1"/>
  <c r="B316" i="6"/>
  <c r="H316" i="6" s="1"/>
  <c r="B315" i="6"/>
  <c r="H315" i="6" s="1"/>
  <c r="B314" i="6"/>
  <c r="H314" i="6" s="1"/>
  <c r="I314" i="6" s="1"/>
  <c r="B313" i="6"/>
  <c r="H313" i="6" s="1"/>
  <c r="B312" i="6"/>
  <c r="H312" i="6" s="1"/>
  <c r="B311" i="6"/>
  <c r="H311" i="6" s="1"/>
  <c r="B310" i="6"/>
  <c r="H310" i="6" s="1"/>
  <c r="B309" i="6"/>
  <c r="H309" i="6" s="1"/>
  <c r="B308" i="6"/>
  <c r="H308" i="6" s="1"/>
  <c r="B307" i="6"/>
  <c r="H307" i="6" s="1"/>
  <c r="B306" i="6"/>
  <c r="H306" i="6" s="1"/>
  <c r="B305" i="6"/>
  <c r="H305" i="6" s="1"/>
  <c r="B304" i="6"/>
  <c r="H304" i="6" s="1"/>
  <c r="B303" i="6"/>
  <c r="H303" i="6" s="1"/>
  <c r="B302" i="6"/>
  <c r="H302" i="6" s="1"/>
  <c r="B301" i="6"/>
  <c r="H301" i="6" s="1"/>
  <c r="B300" i="6"/>
  <c r="H300" i="6" s="1"/>
  <c r="B299" i="6"/>
  <c r="H299" i="6" s="1"/>
  <c r="B298" i="6"/>
  <c r="H298" i="6" s="1"/>
  <c r="B297" i="6"/>
  <c r="H297" i="6" s="1"/>
  <c r="B296" i="6"/>
  <c r="H296" i="6" s="1"/>
  <c r="B295" i="6"/>
  <c r="H295" i="6" s="1"/>
  <c r="B294" i="6"/>
  <c r="H294" i="6" s="1"/>
  <c r="B293" i="6"/>
  <c r="H293" i="6" s="1"/>
  <c r="B292" i="6"/>
  <c r="H292" i="6" s="1"/>
  <c r="B291" i="6"/>
  <c r="H291" i="6" s="1"/>
  <c r="B290" i="6"/>
  <c r="H290" i="6" s="1"/>
  <c r="B289" i="6"/>
  <c r="H289" i="6" s="1"/>
  <c r="B288" i="6"/>
  <c r="H288" i="6" s="1"/>
  <c r="B287" i="6"/>
  <c r="H287" i="6" s="1"/>
  <c r="B286" i="6"/>
  <c r="H286" i="6" s="1"/>
  <c r="B285" i="6"/>
  <c r="H285" i="6" s="1"/>
  <c r="B284" i="6"/>
  <c r="H284" i="6" s="1"/>
  <c r="B283" i="6"/>
  <c r="H283" i="6" s="1"/>
  <c r="B282" i="6"/>
  <c r="H282" i="6" s="1"/>
  <c r="B281" i="6"/>
  <c r="H281" i="6" s="1"/>
  <c r="B280" i="6"/>
  <c r="H280" i="6" s="1"/>
  <c r="B279" i="6"/>
  <c r="H279" i="6" s="1"/>
  <c r="B278" i="6"/>
  <c r="H278" i="6" s="1"/>
  <c r="B277" i="6"/>
  <c r="H277" i="6" s="1"/>
  <c r="B276" i="6"/>
  <c r="H276" i="6" s="1"/>
  <c r="B275" i="6"/>
  <c r="H275" i="6" s="1"/>
  <c r="B274" i="6"/>
  <c r="H274" i="6" s="1"/>
  <c r="B273" i="6"/>
  <c r="H273" i="6" s="1"/>
  <c r="B272" i="6"/>
  <c r="H272" i="6" s="1"/>
  <c r="B271" i="6"/>
  <c r="H271" i="6" s="1"/>
  <c r="B270" i="6"/>
  <c r="H270" i="6" s="1"/>
  <c r="B269" i="6"/>
  <c r="H269" i="6" s="1"/>
  <c r="B268" i="6"/>
  <c r="H268" i="6" s="1"/>
  <c r="B267" i="6"/>
  <c r="H267" i="6" s="1"/>
  <c r="B266" i="6"/>
  <c r="H266" i="6" s="1"/>
  <c r="B265" i="6"/>
  <c r="H265" i="6" s="1"/>
  <c r="B264" i="6"/>
  <c r="H264" i="6" s="1"/>
  <c r="B263" i="6"/>
  <c r="H263" i="6" s="1"/>
  <c r="B262" i="6"/>
  <c r="H262" i="6" s="1"/>
  <c r="B261" i="6"/>
  <c r="H261" i="6" s="1"/>
  <c r="B260" i="6"/>
  <c r="H260" i="6" s="1"/>
  <c r="B259" i="6"/>
  <c r="H259" i="6" s="1"/>
  <c r="B258" i="6"/>
  <c r="H258" i="6" s="1"/>
  <c r="B257" i="6"/>
  <c r="H257" i="6" s="1"/>
  <c r="B256" i="6"/>
  <c r="H256" i="6" s="1"/>
  <c r="B255" i="6"/>
  <c r="H255" i="6" s="1"/>
  <c r="B254" i="6"/>
  <c r="H254" i="6" s="1"/>
  <c r="B253" i="6"/>
  <c r="H253" i="6" s="1"/>
  <c r="B252" i="6"/>
  <c r="H252" i="6" s="1"/>
  <c r="B251" i="6"/>
  <c r="H251" i="6" s="1"/>
  <c r="B250" i="6"/>
  <c r="H250" i="6" s="1"/>
  <c r="B249" i="6"/>
  <c r="H249" i="6" s="1"/>
  <c r="B248" i="6"/>
  <c r="H248" i="6" s="1"/>
  <c r="B247" i="6"/>
  <c r="H247" i="6" s="1"/>
  <c r="B246" i="6"/>
  <c r="H246" i="6" s="1"/>
  <c r="B245" i="6"/>
  <c r="H245" i="6" s="1"/>
  <c r="B244" i="6"/>
  <c r="H244" i="6" s="1"/>
  <c r="B243" i="6"/>
  <c r="H243" i="6" s="1"/>
  <c r="B242" i="6"/>
  <c r="H242" i="6" s="1"/>
  <c r="B241" i="6"/>
  <c r="H241" i="6" s="1"/>
  <c r="B240" i="6"/>
  <c r="H240" i="6" s="1"/>
  <c r="B239" i="6"/>
  <c r="H239" i="6" s="1"/>
  <c r="B238" i="6"/>
  <c r="H238" i="6" s="1"/>
  <c r="B237" i="6"/>
  <c r="H237" i="6" s="1"/>
  <c r="B236" i="6"/>
  <c r="H236" i="6" s="1"/>
  <c r="B235" i="6"/>
  <c r="H235" i="6" s="1"/>
  <c r="I235" i="6" s="1"/>
  <c r="B234" i="6"/>
  <c r="H234" i="6" s="1"/>
  <c r="B233" i="6"/>
  <c r="H233" i="6" s="1"/>
  <c r="B232" i="6"/>
  <c r="H232" i="6" s="1"/>
  <c r="B231" i="6"/>
  <c r="H231" i="6" s="1"/>
  <c r="B230" i="6"/>
  <c r="H230" i="6" s="1"/>
  <c r="B229" i="6"/>
  <c r="H229" i="6" s="1"/>
  <c r="B228" i="6"/>
  <c r="H228" i="6" s="1"/>
  <c r="B227" i="6"/>
  <c r="H227" i="6" s="1"/>
  <c r="B226" i="6"/>
  <c r="H226" i="6" s="1"/>
  <c r="B225" i="6"/>
  <c r="H225" i="6" s="1"/>
  <c r="B224" i="6"/>
  <c r="H224" i="6" s="1"/>
  <c r="B223" i="6"/>
  <c r="H223" i="6" s="1"/>
  <c r="B222" i="6"/>
  <c r="H222" i="6" s="1"/>
  <c r="B221" i="6"/>
  <c r="H221" i="6" s="1"/>
  <c r="B220" i="6"/>
  <c r="H220" i="6" s="1"/>
  <c r="B219" i="6"/>
  <c r="H219" i="6" s="1"/>
  <c r="B218" i="6"/>
  <c r="H218" i="6" s="1"/>
  <c r="B217" i="6"/>
  <c r="H217" i="6" s="1"/>
  <c r="B216" i="6"/>
  <c r="H216" i="6" s="1"/>
  <c r="B215" i="6"/>
  <c r="H215" i="6" s="1"/>
  <c r="B214" i="6"/>
  <c r="H214" i="6" s="1"/>
  <c r="B213" i="6"/>
  <c r="H213" i="6" s="1"/>
  <c r="B212" i="6"/>
  <c r="H212" i="6" s="1"/>
  <c r="B211" i="6"/>
  <c r="H211" i="6" s="1"/>
  <c r="B210" i="6"/>
  <c r="H210" i="6" s="1"/>
  <c r="B209" i="6"/>
  <c r="H209" i="6" s="1"/>
  <c r="B208" i="6"/>
  <c r="H208" i="6" s="1"/>
  <c r="B207" i="6"/>
  <c r="H207" i="6" s="1"/>
  <c r="B206" i="6"/>
  <c r="H206" i="6" s="1"/>
  <c r="B205" i="6"/>
  <c r="H205" i="6" s="1"/>
  <c r="B204" i="6"/>
  <c r="H204" i="6" s="1"/>
  <c r="B203" i="6"/>
  <c r="H203" i="6" s="1"/>
  <c r="B202" i="6"/>
  <c r="H202" i="6" s="1"/>
  <c r="B201" i="6"/>
  <c r="H201" i="6" s="1"/>
  <c r="B200" i="6"/>
  <c r="H200" i="6" s="1"/>
  <c r="B199" i="6"/>
  <c r="H199" i="6" s="1"/>
  <c r="B198" i="6"/>
  <c r="H198" i="6" s="1"/>
  <c r="B197" i="6"/>
  <c r="H197" i="6" s="1"/>
  <c r="B196" i="6"/>
  <c r="H196" i="6" s="1"/>
  <c r="B195" i="6"/>
  <c r="H195" i="6" s="1"/>
  <c r="B194" i="6"/>
  <c r="H194" i="6" s="1"/>
  <c r="B193" i="6"/>
  <c r="H193" i="6" s="1"/>
  <c r="B192" i="6"/>
  <c r="H192" i="6" s="1"/>
  <c r="B191" i="6"/>
  <c r="H191" i="6" s="1"/>
  <c r="B190" i="6"/>
  <c r="H190" i="6" s="1"/>
  <c r="B189" i="6"/>
  <c r="H189" i="6" s="1"/>
  <c r="B188" i="6"/>
  <c r="H188" i="6" s="1"/>
  <c r="B187" i="6"/>
  <c r="H187" i="6" s="1"/>
  <c r="B186" i="6"/>
  <c r="H186" i="6" s="1"/>
  <c r="B185" i="6"/>
  <c r="H185" i="6" s="1"/>
  <c r="B184" i="6"/>
  <c r="H184" i="6" s="1"/>
  <c r="B183" i="6"/>
  <c r="H183" i="6" s="1"/>
  <c r="B182" i="6"/>
  <c r="H182" i="6" s="1"/>
  <c r="B181" i="6"/>
  <c r="H181" i="6" s="1"/>
  <c r="B180" i="6"/>
  <c r="H180" i="6" s="1"/>
  <c r="B179" i="6"/>
  <c r="H179" i="6" s="1"/>
  <c r="B178" i="6"/>
  <c r="H178" i="6" s="1"/>
  <c r="B177" i="6"/>
  <c r="H177" i="6" s="1"/>
  <c r="B176" i="6"/>
  <c r="H176" i="6" s="1"/>
  <c r="B175" i="6"/>
  <c r="H175" i="6" s="1"/>
  <c r="B174" i="6"/>
  <c r="H174" i="6" s="1"/>
  <c r="B173" i="6"/>
  <c r="H173" i="6" s="1"/>
  <c r="B172" i="6"/>
  <c r="H172" i="6" s="1"/>
  <c r="B171" i="6"/>
  <c r="H171" i="6" s="1"/>
  <c r="B170" i="6"/>
  <c r="H170" i="6" s="1"/>
  <c r="B169" i="6"/>
  <c r="H169" i="6" s="1"/>
  <c r="B168" i="6"/>
  <c r="H168" i="6" s="1"/>
  <c r="B167" i="6"/>
  <c r="H167" i="6" s="1"/>
  <c r="B166" i="6"/>
  <c r="H166" i="6" s="1"/>
  <c r="B165" i="6"/>
  <c r="H165" i="6" s="1"/>
  <c r="B164" i="6"/>
  <c r="H164" i="6" s="1"/>
  <c r="B163" i="6"/>
  <c r="H163" i="6" s="1"/>
  <c r="I163" i="6" s="1"/>
  <c r="B162" i="6"/>
  <c r="H162" i="6" s="1"/>
  <c r="B161" i="6"/>
  <c r="H161" i="6" s="1"/>
  <c r="B160" i="6"/>
  <c r="H160" i="6" s="1"/>
  <c r="B159" i="6"/>
  <c r="H159" i="6" s="1"/>
  <c r="B158" i="6"/>
  <c r="H158" i="6" s="1"/>
  <c r="B157" i="6"/>
  <c r="H157" i="6" s="1"/>
  <c r="B156" i="6"/>
  <c r="H156" i="6" s="1"/>
  <c r="B155" i="6"/>
  <c r="H155" i="6" s="1"/>
  <c r="B154" i="6"/>
  <c r="H154" i="6" s="1"/>
  <c r="B153" i="6"/>
  <c r="H153" i="6" s="1"/>
  <c r="B152" i="6"/>
  <c r="H152" i="6" s="1"/>
  <c r="B151" i="6"/>
  <c r="H151" i="6" s="1"/>
  <c r="B150" i="6"/>
  <c r="H150" i="6" s="1"/>
  <c r="B149" i="6"/>
  <c r="H149" i="6" s="1"/>
  <c r="B148" i="6"/>
  <c r="H148" i="6" s="1"/>
  <c r="B147" i="6"/>
  <c r="H147" i="6" s="1"/>
  <c r="B146" i="6"/>
  <c r="H146" i="6" s="1"/>
  <c r="B145" i="6"/>
  <c r="H145" i="6" s="1"/>
  <c r="B144" i="6"/>
  <c r="H144" i="6" s="1"/>
  <c r="B143" i="6"/>
  <c r="H143" i="6" s="1"/>
  <c r="B142" i="6"/>
  <c r="H142" i="6" s="1"/>
  <c r="B141" i="6"/>
  <c r="H141" i="6" s="1"/>
  <c r="B140" i="6"/>
  <c r="H140" i="6" s="1"/>
  <c r="B139" i="6"/>
  <c r="H139" i="6" s="1"/>
  <c r="B138" i="6"/>
  <c r="H138" i="6" s="1"/>
  <c r="B137" i="6"/>
  <c r="H137" i="6" s="1"/>
  <c r="B136" i="6"/>
  <c r="H136" i="6" s="1"/>
  <c r="B135" i="6"/>
  <c r="H135" i="6" s="1"/>
  <c r="B134" i="6"/>
  <c r="H134" i="6" s="1"/>
  <c r="B133" i="6"/>
  <c r="H133" i="6" s="1"/>
  <c r="B132" i="6"/>
  <c r="H132" i="6" s="1"/>
  <c r="B131" i="6"/>
  <c r="H131" i="6" s="1"/>
  <c r="B130" i="6"/>
  <c r="H130" i="6" s="1"/>
  <c r="B129" i="6"/>
  <c r="H129" i="6" s="1"/>
  <c r="B128" i="6"/>
  <c r="H128" i="6" s="1"/>
  <c r="B127" i="6"/>
  <c r="H127" i="6" s="1"/>
  <c r="B126" i="6"/>
  <c r="H126" i="6" s="1"/>
  <c r="B125" i="6"/>
  <c r="H125" i="6" s="1"/>
  <c r="B124" i="6"/>
  <c r="H124" i="6" s="1"/>
  <c r="B123" i="6"/>
  <c r="H123" i="6" s="1"/>
  <c r="B122" i="6"/>
  <c r="H122" i="6" s="1"/>
  <c r="B121" i="6"/>
  <c r="H121" i="6" s="1"/>
  <c r="B120" i="6"/>
  <c r="H120" i="6" s="1"/>
  <c r="B119" i="6"/>
  <c r="H119" i="6" s="1"/>
  <c r="B118" i="6"/>
  <c r="H118" i="6" s="1"/>
  <c r="B117" i="6"/>
  <c r="H117" i="6" s="1"/>
  <c r="B116" i="6"/>
  <c r="H116" i="6" s="1"/>
  <c r="B115" i="6"/>
  <c r="H115" i="6" s="1"/>
  <c r="B114" i="6"/>
  <c r="H114" i="6" s="1"/>
  <c r="B113" i="6"/>
  <c r="H113" i="6" s="1"/>
  <c r="B112" i="6"/>
  <c r="H112" i="6" s="1"/>
  <c r="B111" i="6"/>
  <c r="H111" i="6" s="1"/>
  <c r="B110" i="6"/>
  <c r="H110" i="6" s="1"/>
  <c r="B109" i="6"/>
  <c r="H109" i="6" s="1"/>
  <c r="B108" i="6"/>
  <c r="H108" i="6" s="1"/>
  <c r="B107" i="6"/>
  <c r="H107" i="6" s="1"/>
  <c r="B106" i="6"/>
  <c r="H106" i="6" s="1"/>
  <c r="B105" i="6"/>
  <c r="H105" i="6" s="1"/>
  <c r="B104" i="6"/>
  <c r="H104" i="6" s="1"/>
  <c r="B103" i="6"/>
  <c r="H103" i="6" s="1"/>
  <c r="B102" i="6"/>
  <c r="H102" i="6" s="1"/>
  <c r="B101" i="6"/>
  <c r="H101" i="6" s="1"/>
  <c r="B100" i="6"/>
  <c r="H100" i="6" s="1"/>
  <c r="B99" i="6"/>
  <c r="H99" i="6" s="1"/>
  <c r="B98" i="6"/>
  <c r="H98" i="6" s="1"/>
  <c r="B97" i="6"/>
  <c r="H97" i="6" s="1"/>
  <c r="B96" i="6"/>
  <c r="H96" i="6" s="1"/>
  <c r="B95" i="6"/>
  <c r="H95" i="6" s="1"/>
  <c r="B94" i="6"/>
  <c r="H94" i="6" s="1"/>
  <c r="B93" i="6"/>
  <c r="H93" i="6" s="1"/>
  <c r="B92" i="6"/>
  <c r="H92" i="6" s="1"/>
  <c r="B91" i="6"/>
  <c r="H91" i="6" s="1"/>
  <c r="B90" i="6"/>
  <c r="H90" i="6" s="1"/>
  <c r="B89" i="6"/>
  <c r="H89" i="6" s="1"/>
  <c r="B88" i="6"/>
  <c r="H88" i="6" s="1"/>
  <c r="B87" i="6"/>
  <c r="H87" i="6" s="1"/>
  <c r="B86" i="6"/>
  <c r="H86" i="6" s="1"/>
  <c r="B85" i="6"/>
  <c r="H85" i="6" s="1"/>
  <c r="B84" i="6"/>
  <c r="H84" i="6" s="1"/>
  <c r="B83" i="6"/>
  <c r="H83" i="6" s="1"/>
  <c r="B82" i="6"/>
  <c r="H82" i="6" s="1"/>
  <c r="B81" i="6"/>
  <c r="H81" i="6" s="1"/>
  <c r="B80" i="6"/>
  <c r="H80" i="6" s="1"/>
  <c r="I80" i="6" s="1"/>
  <c r="B79" i="6"/>
  <c r="H79" i="6" s="1"/>
  <c r="B78" i="6"/>
  <c r="H78" i="6" s="1"/>
  <c r="B77" i="6"/>
  <c r="H77" i="6" s="1"/>
  <c r="B76" i="6"/>
  <c r="H76" i="6" s="1"/>
  <c r="B75" i="6"/>
  <c r="H75" i="6" s="1"/>
  <c r="B74" i="6"/>
  <c r="H74" i="6" s="1"/>
  <c r="B73" i="6"/>
  <c r="H73" i="6" s="1"/>
  <c r="B72" i="6"/>
  <c r="H72" i="6" s="1"/>
  <c r="B71" i="6"/>
  <c r="H71" i="6" s="1"/>
  <c r="B70" i="6"/>
  <c r="H70" i="6" s="1"/>
  <c r="B69" i="6"/>
  <c r="H69" i="6" s="1"/>
  <c r="B68" i="6"/>
  <c r="H68" i="6" s="1"/>
  <c r="B67" i="6"/>
  <c r="H67" i="6" s="1"/>
  <c r="B66" i="6"/>
  <c r="H66" i="6" s="1"/>
  <c r="B65" i="6"/>
  <c r="H65" i="6" s="1"/>
  <c r="B64" i="6"/>
  <c r="H64" i="6" s="1"/>
  <c r="B63" i="6"/>
  <c r="H63" i="6" s="1"/>
  <c r="B62" i="6"/>
  <c r="H62" i="6" s="1"/>
  <c r="B61" i="6"/>
  <c r="H61" i="6" s="1"/>
  <c r="B60" i="6"/>
  <c r="H60" i="6" s="1"/>
  <c r="B59" i="6"/>
  <c r="H59" i="6" s="1"/>
  <c r="B58" i="6"/>
  <c r="H58" i="6" s="1"/>
  <c r="B57" i="6"/>
  <c r="H57" i="6" s="1"/>
  <c r="B56" i="6"/>
  <c r="H56" i="6" s="1"/>
  <c r="B55" i="6"/>
  <c r="H55" i="6" s="1"/>
  <c r="B54" i="6"/>
  <c r="H54" i="6" s="1"/>
  <c r="B53" i="6"/>
  <c r="H53" i="6" s="1"/>
  <c r="B52" i="6"/>
  <c r="H52" i="6" s="1"/>
  <c r="B51" i="6"/>
  <c r="H51" i="6" s="1"/>
  <c r="B50" i="6"/>
  <c r="H50" i="6" s="1"/>
  <c r="B49" i="6"/>
  <c r="H49" i="6" s="1"/>
  <c r="B48" i="6"/>
  <c r="H48" i="6" s="1"/>
  <c r="B47" i="6"/>
  <c r="H47" i="6" s="1"/>
  <c r="B46" i="6"/>
  <c r="H46" i="6" s="1"/>
  <c r="B45" i="6"/>
  <c r="H45" i="6" s="1"/>
  <c r="B44" i="6"/>
  <c r="H44" i="6" s="1"/>
  <c r="B43" i="6"/>
  <c r="H43" i="6" s="1"/>
  <c r="B42" i="6"/>
  <c r="H42" i="6" s="1"/>
  <c r="B41" i="6"/>
  <c r="H41" i="6" s="1"/>
  <c r="B40" i="6"/>
  <c r="H40" i="6" s="1"/>
  <c r="B39" i="6"/>
  <c r="H39" i="6" s="1"/>
  <c r="B38" i="6"/>
  <c r="H38" i="6" s="1"/>
  <c r="B37" i="6"/>
  <c r="H37" i="6" s="1"/>
  <c r="B36" i="6"/>
  <c r="H36" i="6" s="1"/>
  <c r="B35" i="6"/>
  <c r="H35" i="6" s="1"/>
  <c r="B34" i="6"/>
  <c r="H34" i="6" s="1"/>
  <c r="B33" i="6"/>
  <c r="H33" i="6" s="1"/>
  <c r="B32" i="6"/>
  <c r="H32" i="6" s="1"/>
  <c r="B31" i="6"/>
  <c r="H31" i="6" s="1"/>
  <c r="B30" i="6"/>
  <c r="H30" i="6" s="1"/>
  <c r="B29" i="6"/>
  <c r="H29" i="6" s="1"/>
  <c r="B28" i="6"/>
  <c r="H28" i="6" s="1"/>
  <c r="B27" i="6"/>
  <c r="H27" i="6" s="1"/>
  <c r="B26" i="6"/>
  <c r="H26" i="6" s="1"/>
  <c r="B25" i="6"/>
  <c r="H25" i="6" s="1"/>
  <c r="B24" i="6"/>
  <c r="H24" i="6" s="1"/>
  <c r="B23" i="6"/>
  <c r="H23" i="6" s="1"/>
  <c r="B22" i="6"/>
  <c r="H22" i="6" s="1"/>
  <c r="B21" i="6"/>
  <c r="H21" i="6" s="1"/>
  <c r="B20" i="6"/>
  <c r="H20" i="6" s="1"/>
  <c r="B19" i="6"/>
  <c r="H19" i="6" s="1"/>
  <c r="B18" i="6"/>
  <c r="H18" i="6" s="1"/>
  <c r="B17" i="6"/>
  <c r="H17" i="6" s="1"/>
  <c r="B16" i="6"/>
  <c r="H16" i="6" s="1"/>
  <c r="B15" i="6"/>
  <c r="H15" i="6" s="1"/>
  <c r="I15" i="6" s="1"/>
  <c r="B14" i="6"/>
  <c r="H14" i="6" s="1"/>
  <c r="B13" i="6"/>
  <c r="H13" i="6" s="1"/>
  <c r="B12" i="6"/>
  <c r="H12" i="6" s="1"/>
  <c r="B11" i="6"/>
  <c r="H11" i="6" s="1"/>
  <c r="B10" i="6"/>
  <c r="H10" i="6" s="1"/>
  <c r="B9" i="6"/>
  <c r="H9" i="6" s="1"/>
  <c r="B8" i="6"/>
  <c r="H8" i="6" s="1"/>
  <c r="B7" i="6"/>
  <c r="H7" i="6" s="1"/>
  <c r="B6" i="6"/>
  <c r="H6" i="6" s="1"/>
  <c r="B5" i="6"/>
  <c r="H5" i="6" s="1"/>
  <c r="B4" i="6"/>
  <c r="H4" i="6" s="1"/>
  <c r="B3" i="6"/>
  <c r="H3" i="6" s="1"/>
  <c r="B2" i="6"/>
  <c r="H2" i="6" s="1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27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3" i="6" l="1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4" i="6"/>
  <c r="L55" i="6"/>
  <c r="L56" i="6"/>
  <c r="L57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2" i="6"/>
  <c r="J58" i="6"/>
  <c r="L58" i="6" s="1"/>
  <c r="J53" i="6"/>
  <c r="L53" i="6" s="1"/>
  <c r="J52" i="6"/>
  <c r="L52" i="6" s="1"/>
  <c r="J51" i="6"/>
  <c r="L51" i="6" s="1"/>
  <c r="J18" i="6"/>
  <c r="L18" i="6" s="1"/>
</calcChain>
</file>

<file path=xl/sharedStrings.xml><?xml version="1.0" encoding="utf-8"?>
<sst xmlns="http://schemas.openxmlformats.org/spreadsheetml/2006/main" count="1635" uniqueCount="62">
  <si>
    <t>Variedade</t>
  </si>
  <si>
    <t>Talhão</t>
  </si>
  <si>
    <t>CTC 11</t>
  </si>
  <si>
    <t xml:space="preserve">CTC 4 </t>
  </si>
  <si>
    <t>CTC 9001</t>
  </si>
  <si>
    <t>CTC 9003</t>
  </si>
  <si>
    <t>Número do Corte</t>
  </si>
  <si>
    <t>Area Colhida</t>
  </si>
  <si>
    <t xml:space="preserve">Ano </t>
  </si>
  <si>
    <t xml:space="preserve">Ano Colheita </t>
  </si>
  <si>
    <t>Corte</t>
  </si>
  <si>
    <t>CTC 20</t>
  </si>
  <si>
    <t>CTC 14</t>
  </si>
  <si>
    <t xml:space="preserve">87 </t>
  </si>
  <si>
    <t>88</t>
  </si>
  <si>
    <t xml:space="preserve">89 </t>
  </si>
  <si>
    <t xml:space="preserve">90 </t>
  </si>
  <si>
    <t>Produtividade TCH</t>
  </si>
  <si>
    <t>Tonelada Colhida</t>
  </si>
  <si>
    <t>1,5</t>
  </si>
  <si>
    <t>1,25</t>
  </si>
  <si>
    <t>10</t>
  </si>
  <si>
    <t>Area Plantada</t>
  </si>
  <si>
    <t>RB 5952</t>
  </si>
  <si>
    <t>RB 7515</t>
  </si>
  <si>
    <t>RB 6928</t>
  </si>
  <si>
    <t>SP 2847</t>
  </si>
  <si>
    <t>RB 5014</t>
  </si>
  <si>
    <t>2</t>
  </si>
  <si>
    <t>9</t>
  </si>
  <si>
    <t>7</t>
  </si>
  <si>
    <t>3</t>
  </si>
  <si>
    <t>4</t>
  </si>
  <si>
    <t>5</t>
  </si>
  <si>
    <t>6</t>
  </si>
  <si>
    <t>8</t>
  </si>
  <si>
    <t>Ano</t>
  </si>
  <si>
    <t>Mês</t>
  </si>
  <si>
    <t>Total de Chuva em Milimetros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</si>
  <si>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</si>
  <si>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</si>
  <si>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</si>
  <si>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</si>
  <si>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</si>
  <si>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</si>
  <si>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</si>
  <si>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</si>
  <si>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</si>
  <si>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</si>
  <si>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</si>
  <si>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</si>
  <si>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ATR Acumulado</t>
  </si>
  <si>
    <t>Talhao</t>
  </si>
  <si>
    <t>Tamanho</t>
  </si>
  <si>
    <t>Último Corte</t>
  </si>
  <si>
    <t>RB 5414</t>
  </si>
  <si>
    <t>CTC 9004</t>
  </si>
  <si>
    <t xml:space="preserve">CTC 9002 </t>
  </si>
  <si>
    <t>Data de Plantio</t>
  </si>
  <si>
    <t>Idade (anos)</t>
  </si>
  <si>
    <t>Data Base</t>
  </si>
  <si>
    <t>Idade (meses)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</si>
</sst>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4" fontId="2" fillId="0" borderId="0" xfId="1" applyNumberFormat="1" applyFont="1" applyFill="1" applyBorder="1" applyAlignment="1">
      <alignment horizontal="center"/>
    </xf>
    <xf numFmtId="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/>
    <xf numFmtId="3" fontId="2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2" fontId="6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49" fontId="7" fillId="0" borderId="0" xfId="0" applyNumberFormat="1" applyFont="1" applyAlignment="1">
      <alignment horizont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4" fontId="8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6" fillId="0" borderId="0" xfId="0" applyNumberFormat="1" applyFont="1" applyAlignment="1">
      <alignment horizontal="center"/>
    </xf>
    <xf numFmtId="14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/>
    </xf>
    <xf numFmtId="164" fontId="2" fillId="0" borderId="0" xfId="1" applyNumberFormat="1" applyFont="1" applyAlignment="1">
      <alignment horizontal="center"/>
    </xf>
  </cellXfs>
  <cellStyles count="3">
    <cellStyle name="Normal" xfId="0" builtinId="0"/>
    <cellStyle name="Vírgula" xfId="1" builtinId="3"/>
    <cellStyle name="Vírgula 3" xfId="2" xr:uid="{37E14A1C-29F5-49E3-AD04-9765FE56F2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88DED-2186-4B06-A0DC-FB0B7B55563E}">
  <dimension ref="A1:N788"/>
  <sheetViews>
    <sheetView showGridLines="0" tabSelected="1" zoomScale="120" zoomScaleNormal="120" workbookViewId="0">
      <pane ySplit="1" topLeftCell="A25" activePane="bottomLeft" state="frozen"/>
      <selection pane="bottomLeft" activeCell="F28" sqref="F28"/>
    </sheetView>
  </sheetViews>
  <sheetFormatPr defaultColWidth="8.88671875" defaultRowHeight="14.4" x14ac:dyDescent="0.3"/>
  <cols>
    <col min="1" max="1" width="16.6640625" style="1" bestFit="1" customWidth="1"/>
    <col min="2" max="2" width="13.6640625" style="1" bestFit="1" customWidth="1"/>
    <col min="3" max="3" width="11.109375" style="1" bestFit="1" customWidth="1"/>
    <col min="4" max="4" width="14" style="1" bestFit="1" customWidth="1"/>
    <col min="5" max="5" width="17.21875" style="1" bestFit="1" customWidth="1"/>
    <col min="6" max="6" width="20.109375" style="1" bestFit="1" customWidth="1"/>
    <col min="7" max="7" width="18.33203125" style="1" bestFit="1" customWidth="1"/>
    <col min="8" max="8" width="17.21875" style="1" bestFit="1" customWidth="1"/>
    <col min="9" max="9" width="17.21875" style="1" customWidth="1"/>
    <col min="10" max="10" width="20.88671875" style="1" bestFit="1" customWidth="1"/>
    <col min="11" max="11" width="21.33203125" style="1" bestFit="1" customWidth="1"/>
    <col min="12" max="12" width="20.109375" style="1" bestFit="1" customWidth="1"/>
    <col min="13" max="16384" width="8.88671875" style="1"/>
  </cols>
  <sheetData>
    <row r="1" spans="1:12" x14ac:dyDescent="0.3">
      <c r="A1" s="5" t="s">
        <v>9</v>
      </c>
      <c r="B1" s="5" t="s">
        <v>60</v>
      </c>
      <c r="C1" s="5" t="s">
        <v>1</v>
      </c>
      <c r="D1" s="5" t="s">
        <v>0</v>
      </c>
      <c r="E1" s="5" t="s">
        <v>22</v>
      </c>
      <c r="F1" s="5" t="s">
        <v>6</v>
      </c>
      <c r="G1" s="5" t="s">
        <v>58</v>
      </c>
      <c r="H1" s="5" t="s">
        <v>61</v>
      </c>
      <c r="I1" s="5" t="s">
        <v>59</v>
      </c>
      <c r="J1" s="5" t="s">
        <v>7</v>
      </c>
      <c r="K1" s="5" t="s">
        <v>17</v>
      </c>
      <c r="L1" s="5" t="s">
        <v>18</v>
      </c>
    </row>
    <row r="2" spans="1:12" x14ac:dyDescent="0.3">
      <c r="A2" s="1">
        <v>2025</v>
      </c>
      <c r="B2" s="20">
        <f>IF(A2="","",DATE(A2,8,31))</f>
        <v>45900</v>
      </c>
      <c r="C2" s="1">
        <v>1</v>
      </c>
      <c r="D2" s="1" t="s">
        <v>2</v>
      </c>
      <c r="E2" s="2">
        <v>16.46</v>
      </c>
      <c r="F2" s="1">
        <v>3</v>
      </c>
      <c r="H2" s="21" t="str">
        <f>IF(OR(G2="",B2=""),"",DATEDIF(G2,B2,"m"))</f>
        <v/>
      </c>
      <c r="I2" s="21"/>
      <c r="J2" s="3">
        <v>16.46</v>
      </c>
      <c r="K2" s="1">
        <v>83</v>
      </c>
      <c r="L2" s="4">
        <f>J2*K2</f>
        <v>1366.18</v>
      </c>
    </row>
    <row r="3" spans="1:12" x14ac:dyDescent="0.3">
      <c r="A3" s="1">
        <v>2025</v>
      </c>
      <c r="B3" s="20">
        <f t="shared" ref="B3:B66" si="0">IF(A3="","",DATE(A3,8,31))</f>
        <v>45900</v>
      </c>
      <c r="C3" s="1">
        <v>2</v>
      </c>
      <c r="D3" s="1" t="s">
        <v>2</v>
      </c>
      <c r="E3" s="2">
        <v>21.96</v>
      </c>
      <c r="F3" s="1">
        <v>3</v>
      </c>
      <c r="H3" s="21" t="str">
        <f t="shared" ref="H3:H66" si="1">IF(OR(G3="",B3=""),"",DATEDIF(G3,B3,"m"))</f>
        <v/>
      </c>
      <c r="I3" s="21"/>
      <c r="J3" s="3">
        <v>21.96</v>
      </c>
      <c r="K3" s="1">
        <v>108</v>
      </c>
      <c r="L3" s="4">
        <f t="shared" ref="L3:L65" si="2">J3*K3</f>
        <v>2371.6800000000003</v>
      </c>
    </row>
    <row r="4" spans="1:12" x14ac:dyDescent="0.3">
      <c r="A4" s="1">
        <v>2025</v>
      </c>
      <c r="B4" s="20">
        <f t="shared" si="0"/>
        <v>45900</v>
      </c>
      <c r="C4" s="1">
        <v>3</v>
      </c>
      <c r="D4" s="1" t="s">
        <v>3</v>
      </c>
      <c r="E4" s="2">
        <v>20.67</v>
      </c>
      <c r="F4" s="1">
        <v>5</v>
      </c>
      <c r="H4" s="21" t="str">
        <f t="shared" si="1"/>
        <v/>
      </c>
      <c r="I4" s="21"/>
      <c r="J4" s="3">
        <v>20.67</v>
      </c>
      <c r="K4" s="1">
        <v>76</v>
      </c>
      <c r="L4" s="4">
        <f t="shared" si="2"/>
        <v>1570.92</v>
      </c>
    </row>
    <row r="5" spans="1:12" x14ac:dyDescent="0.3">
      <c r="A5" s="1">
        <v>2025</v>
      </c>
      <c r="B5" s="20">
        <f t="shared" si="0"/>
        <v>45900</v>
      </c>
      <c r="C5" s="1">
        <v>5</v>
      </c>
      <c r="D5" s="1" t="s">
        <v>23</v>
      </c>
      <c r="E5" s="2">
        <v>43.99</v>
      </c>
      <c r="F5" s="1">
        <v>4</v>
      </c>
      <c r="H5" s="21" t="str">
        <f t="shared" si="1"/>
        <v/>
      </c>
      <c r="I5" s="21"/>
      <c r="J5" s="3">
        <v>43.99</v>
      </c>
      <c r="K5" s="1">
        <v>69</v>
      </c>
      <c r="L5" s="4">
        <f t="shared" si="2"/>
        <v>3035.31</v>
      </c>
    </row>
    <row r="6" spans="1:12" x14ac:dyDescent="0.3">
      <c r="A6" s="1">
        <v>2025</v>
      </c>
      <c r="B6" s="20">
        <f t="shared" si="0"/>
        <v>45900</v>
      </c>
      <c r="C6" s="1">
        <v>8</v>
      </c>
      <c r="D6" s="1" t="s">
        <v>23</v>
      </c>
      <c r="E6" s="2">
        <v>10.01</v>
      </c>
      <c r="F6" s="1">
        <v>5</v>
      </c>
      <c r="H6" s="21" t="str">
        <f t="shared" si="1"/>
        <v/>
      </c>
      <c r="I6" s="21"/>
      <c r="J6" s="3">
        <v>10.01</v>
      </c>
      <c r="K6" s="1">
        <v>58</v>
      </c>
      <c r="L6" s="4">
        <f t="shared" si="2"/>
        <v>580.58000000000004</v>
      </c>
    </row>
    <row r="7" spans="1:12" x14ac:dyDescent="0.3">
      <c r="A7" s="1">
        <v>2025</v>
      </c>
      <c r="B7" s="20">
        <f t="shared" si="0"/>
        <v>45900</v>
      </c>
      <c r="C7" s="1">
        <v>10</v>
      </c>
      <c r="D7" s="1" t="s">
        <v>3</v>
      </c>
      <c r="E7" s="2">
        <v>6.54</v>
      </c>
      <c r="F7" s="1">
        <v>4</v>
      </c>
      <c r="H7" s="21" t="str">
        <f t="shared" si="1"/>
        <v/>
      </c>
      <c r="I7" s="21"/>
      <c r="J7" s="3">
        <v>6.54</v>
      </c>
      <c r="K7" s="1">
        <v>78</v>
      </c>
      <c r="L7" s="4">
        <f t="shared" si="2"/>
        <v>510.12</v>
      </c>
    </row>
    <row r="8" spans="1:12" x14ac:dyDescent="0.3">
      <c r="A8" s="1">
        <v>2025</v>
      </c>
      <c r="B8" s="20">
        <f t="shared" si="0"/>
        <v>45900</v>
      </c>
      <c r="C8" s="1">
        <v>12</v>
      </c>
      <c r="D8" s="1" t="s">
        <v>3</v>
      </c>
      <c r="E8" s="2">
        <v>4.91</v>
      </c>
      <c r="F8" s="1">
        <v>4</v>
      </c>
      <c r="H8" s="21" t="str">
        <f t="shared" si="1"/>
        <v/>
      </c>
      <c r="I8" s="21"/>
      <c r="J8" s="3">
        <v>4.91</v>
      </c>
      <c r="K8" s="1">
        <v>78</v>
      </c>
      <c r="L8" s="4">
        <f t="shared" si="2"/>
        <v>382.98</v>
      </c>
    </row>
    <row r="9" spans="1:12" x14ac:dyDescent="0.3">
      <c r="A9" s="1">
        <v>2025</v>
      </c>
      <c r="B9" s="20">
        <f t="shared" si="0"/>
        <v>45900</v>
      </c>
      <c r="C9" s="1">
        <v>14</v>
      </c>
      <c r="D9" s="1" t="s">
        <v>3</v>
      </c>
      <c r="E9" s="2">
        <v>7.22</v>
      </c>
      <c r="F9" s="1">
        <v>4</v>
      </c>
      <c r="H9" s="21" t="str">
        <f t="shared" si="1"/>
        <v/>
      </c>
      <c r="I9" s="21"/>
      <c r="J9" s="3">
        <v>7.22</v>
      </c>
      <c r="K9" s="1">
        <v>78</v>
      </c>
      <c r="L9" s="4">
        <f t="shared" si="2"/>
        <v>563.16</v>
      </c>
    </row>
    <row r="10" spans="1:12" x14ac:dyDescent="0.3">
      <c r="A10" s="1">
        <v>2025</v>
      </c>
      <c r="B10" s="20">
        <f t="shared" si="0"/>
        <v>45900</v>
      </c>
      <c r="C10" s="1">
        <v>15</v>
      </c>
      <c r="D10" s="1" t="s">
        <v>4</v>
      </c>
      <c r="E10" s="2">
        <v>12.58</v>
      </c>
      <c r="F10" s="1">
        <v>2</v>
      </c>
      <c r="H10" s="21" t="str">
        <f t="shared" si="1"/>
        <v/>
      </c>
      <c r="I10" s="21"/>
      <c r="J10" s="3">
        <v>12.58</v>
      </c>
      <c r="K10" s="1">
        <v>100</v>
      </c>
      <c r="L10" s="4">
        <f t="shared" si="2"/>
        <v>1258</v>
      </c>
    </row>
    <row r="11" spans="1:12" x14ac:dyDescent="0.3">
      <c r="A11" s="1">
        <v>2025</v>
      </c>
      <c r="B11" s="20">
        <f t="shared" si="0"/>
        <v>45900</v>
      </c>
      <c r="C11" s="1">
        <v>16</v>
      </c>
      <c r="D11" s="1" t="s">
        <v>3</v>
      </c>
      <c r="E11" s="2">
        <v>10.25</v>
      </c>
      <c r="F11" s="1">
        <v>4</v>
      </c>
      <c r="H11" s="21" t="str">
        <f t="shared" si="1"/>
        <v/>
      </c>
      <c r="I11" s="21"/>
      <c r="J11" s="3">
        <v>10.25</v>
      </c>
      <c r="K11" s="1">
        <v>80</v>
      </c>
      <c r="L11" s="4">
        <f t="shared" si="2"/>
        <v>820</v>
      </c>
    </row>
    <row r="12" spans="1:12" x14ac:dyDescent="0.3">
      <c r="A12" s="1">
        <v>2025</v>
      </c>
      <c r="B12" s="20">
        <f t="shared" si="0"/>
        <v>45900</v>
      </c>
      <c r="C12" s="1">
        <v>17</v>
      </c>
      <c r="D12" s="1" t="s">
        <v>3</v>
      </c>
      <c r="E12" s="2">
        <v>9.6300000000000008</v>
      </c>
      <c r="F12" s="1">
        <v>4</v>
      </c>
      <c r="H12" s="21" t="str">
        <f t="shared" si="1"/>
        <v/>
      </c>
      <c r="I12" s="21"/>
      <c r="J12" s="3">
        <v>9.6300000000000008</v>
      </c>
      <c r="K12" s="1">
        <v>80</v>
      </c>
      <c r="L12" s="4">
        <f t="shared" si="2"/>
        <v>770.40000000000009</v>
      </c>
    </row>
    <row r="13" spans="1:12" x14ac:dyDescent="0.3">
      <c r="A13" s="1">
        <v>2025</v>
      </c>
      <c r="B13" s="20">
        <f t="shared" si="0"/>
        <v>45900</v>
      </c>
      <c r="C13" s="1">
        <v>18</v>
      </c>
      <c r="D13" s="1" t="s">
        <v>4</v>
      </c>
      <c r="E13" s="2">
        <v>4.25</v>
      </c>
      <c r="F13" s="1">
        <v>3</v>
      </c>
      <c r="H13" s="21" t="str">
        <f t="shared" si="1"/>
        <v/>
      </c>
      <c r="I13" s="21"/>
      <c r="J13" s="3">
        <v>4.25</v>
      </c>
      <c r="K13" s="1">
        <v>85</v>
      </c>
      <c r="L13" s="4">
        <f t="shared" si="2"/>
        <v>361.25</v>
      </c>
    </row>
    <row r="14" spans="1:12" x14ac:dyDescent="0.3">
      <c r="A14" s="1">
        <v>2025</v>
      </c>
      <c r="B14" s="20">
        <f t="shared" si="0"/>
        <v>45900</v>
      </c>
      <c r="C14" s="1">
        <v>19</v>
      </c>
      <c r="D14" s="1" t="s">
        <v>4</v>
      </c>
      <c r="E14" s="2">
        <v>13</v>
      </c>
      <c r="F14" s="1">
        <v>3</v>
      </c>
      <c r="H14" s="21" t="str">
        <f t="shared" si="1"/>
        <v/>
      </c>
      <c r="I14" s="21"/>
      <c r="J14" s="3">
        <v>13</v>
      </c>
      <c r="K14" s="1">
        <v>85</v>
      </c>
      <c r="L14" s="4">
        <f t="shared" si="2"/>
        <v>1105</v>
      </c>
    </row>
    <row r="15" spans="1:12" x14ac:dyDescent="0.3">
      <c r="A15" s="1">
        <v>2025</v>
      </c>
      <c r="B15" s="20">
        <f t="shared" si="0"/>
        <v>45900</v>
      </c>
      <c r="C15" s="1">
        <v>20</v>
      </c>
      <c r="D15" s="1" t="s">
        <v>3</v>
      </c>
      <c r="E15" s="2">
        <v>5.08</v>
      </c>
      <c r="F15" s="1">
        <v>3</v>
      </c>
      <c r="G15" s="20">
        <v>44562</v>
      </c>
      <c r="H15" s="21">
        <f t="shared" si="1"/>
        <v>43</v>
      </c>
      <c r="I15" s="24">
        <f>H15/12</f>
        <v>3.5833333333333335</v>
      </c>
      <c r="J15" s="3">
        <v>5.08</v>
      </c>
      <c r="K15" s="1">
        <v>78</v>
      </c>
      <c r="L15" s="4">
        <f t="shared" si="2"/>
        <v>396.24</v>
      </c>
    </row>
    <row r="16" spans="1:12" x14ac:dyDescent="0.3">
      <c r="A16" s="1">
        <v>2025</v>
      </c>
      <c r="B16" s="20">
        <f t="shared" si="0"/>
        <v>45900</v>
      </c>
      <c r="C16" s="1">
        <v>21</v>
      </c>
      <c r="D16" s="1" t="s">
        <v>3</v>
      </c>
      <c r="E16" s="2">
        <v>12.92</v>
      </c>
      <c r="F16" s="1">
        <v>3</v>
      </c>
      <c r="H16" s="21" t="str">
        <f t="shared" si="1"/>
        <v/>
      </c>
      <c r="I16" s="21"/>
      <c r="J16" s="3">
        <v>12.92</v>
      </c>
      <c r="K16" s="1">
        <v>75</v>
      </c>
      <c r="L16" s="4">
        <f t="shared" si="2"/>
        <v>969</v>
      </c>
    </row>
    <row r="17" spans="1:12" x14ac:dyDescent="0.3">
      <c r="A17" s="1">
        <v>2025</v>
      </c>
      <c r="B17" s="20">
        <f t="shared" si="0"/>
        <v>45900</v>
      </c>
      <c r="C17" s="1">
        <v>22</v>
      </c>
      <c r="D17" s="1" t="s">
        <v>4</v>
      </c>
      <c r="E17" s="2">
        <v>19.760000000000002</v>
      </c>
      <c r="F17" s="1">
        <v>3</v>
      </c>
      <c r="H17" s="21" t="str">
        <f t="shared" si="1"/>
        <v/>
      </c>
      <c r="I17" s="21"/>
      <c r="J17" s="3">
        <v>19.760000000000002</v>
      </c>
      <c r="K17" s="1">
        <v>109</v>
      </c>
      <c r="L17" s="4">
        <f t="shared" si="2"/>
        <v>2153.84</v>
      </c>
    </row>
    <row r="18" spans="1:12" x14ac:dyDescent="0.3">
      <c r="A18" s="1">
        <v>2025</v>
      </c>
      <c r="B18" s="20">
        <f t="shared" si="0"/>
        <v>45900</v>
      </c>
      <c r="C18" s="1">
        <v>23</v>
      </c>
      <c r="D18" s="1" t="s">
        <v>5</v>
      </c>
      <c r="E18" s="2">
        <v>8.61</v>
      </c>
      <c r="F18" s="1">
        <v>1</v>
      </c>
      <c r="G18" s="20">
        <v>45658</v>
      </c>
      <c r="H18" s="21">
        <f t="shared" si="1"/>
        <v>7</v>
      </c>
      <c r="I18" s="21"/>
      <c r="J18" s="3">
        <f>K18</f>
        <v>0</v>
      </c>
      <c r="K18" s="1">
        <v>0</v>
      </c>
      <c r="L18" s="4">
        <f t="shared" si="2"/>
        <v>0</v>
      </c>
    </row>
    <row r="19" spans="1:12" x14ac:dyDescent="0.3">
      <c r="A19" s="1">
        <v>2025</v>
      </c>
      <c r="B19" s="20">
        <f t="shared" si="0"/>
        <v>45900</v>
      </c>
      <c r="C19" s="1">
        <v>24</v>
      </c>
      <c r="D19" s="1" t="s">
        <v>4</v>
      </c>
      <c r="E19" s="2">
        <v>12.12</v>
      </c>
      <c r="F19" s="1">
        <v>2</v>
      </c>
      <c r="H19" s="21" t="str">
        <f t="shared" si="1"/>
        <v/>
      </c>
      <c r="I19" s="21"/>
      <c r="J19" s="3">
        <v>12.12</v>
      </c>
      <c r="K19" s="1">
        <v>90</v>
      </c>
      <c r="L19" s="4">
        <f t="shared" si="2"/>
        <v>1090.8</v>
      </c>
    </row>
    <row r="20" spans="1:12" x14ac:dyDescent="0.3">
      <c r="A20" s="1">
        <v>2025</v>
      </c>
      <c r="B20" s="20">
        <f t="shared" si="0"/>
        <v>45900</v>
      </c>
      <c r="C20" s="1">
        <v>25</v>
      </c>
      <c r="D20" s="1" t="s">
        <v>4</v>
      </c>
      <c r="E20" s="2">
        <v>11.43</v>
      </c>
      <c r="F20" s="1">
        <v>2</v>
      </c>
      <c r="H20" s="21" t="str">
        <f t="shared" si="1"/>
        <v/>
      </c>
      <c r="I20" s="21"/>
      <c r="J20" s="3">
        <v>11.43</v>
      </c>
      <c r="K20" s="1">
        <v>90</v>
      </c>
      <c r="L20" s="4">
        <f t="shared" si="2"/>
        <v>1028.7</v>
      </c>
    </row>
    <row r="21" spans="1:12" x14ac:dyDescent="0.3">
      <c r="A21" s="1">
        <v>2025</v>
      </c>
      <c r="B21" s="20">
        <f t="shared" si="0"/>
        <v>45900</v>
      </c>
      <c r="C21" s="1">
        <v>26</v>
      </c>
      <c r="D21" s="1" t="s">
        <v>4</v>
      </c>
      <c r="E21" s="2">
        <v>19</v>
      </c>
      <c r="F21" s="1">
        <v>2</v>
      </c>
      <c r="H21" s="21" t="str">
        <f t="shared" si="1"/>
        <v/>
      </c>
      <c r="I21" s="21"/>
      <c r="J21" s="3">
        <v>19</v>
      </c>
      <c r="K21" s="1">
        <v>95</v>
      </c>
      <c r="L21" s="4">
        <f t="shared" si="2"/>
        <v>1805</v>
      </c>
    </row>
    <row r="22" spans="1:12" x14ac:dyDescent="0.3">
      <c r="A22" s="1">
        <v>2025</v>
      </c>
      <c r="B22" s="20">
        <f t="shared" si="0"/>
        <v>45900</v>
      </c>
      <c r="C22" s="1">
        <v>27</v>
      </c>
      <c r="D22" s="1" t="s">
        <v>5</v>
      </c>
      <c r="E22" s="2">
        <v>28</v>
      </c>
      <c r="F22" s="1">
        <v>2</v>
      </c>
      <c r="H22" s="21" t="str">
        <f t="shared" si="1"/>
        <v/>
      </c>
      <c r="I22" s="21"/>
      <c r="J22" s="3">
        <v>28</v>
      </c>
      <c r="K22" s="1">
        <v>95</v>
      </c>
      <c r="L22" s="4">
        <f t="shared" si="2"/>
        <v>2660</v>
      </c>
    </row>
    <row r="23" spans="1:12" x14ac:dyDescent="0.3">
      <c r="A23" s="1">
        <v>2025</v>
      </c>
      <c r="B23" s="20">
        <f t="shared" si="0"/>
        <v>45900</v>
      </c>
      <c r="C23" s="1">
        <v>28</v>
      </c>
      <c r="D23" s="1" t="s">
        <v>5</v>
      </c>
      <c r="E23" s="2">
        <v>33.369999999999997</v>
      </c>
      <c r="F23" s="1">
        <v>2</v>
      </c>
      <c r="H23" s="21" t="str">
        <f t="shared" si="1"/>
        <v/>
      </c>
      <c r="I23" s="21"/>
      <c r="J23" s="3">
        <v>33.369999999999997</v>
      </c>
      <c r="K23" s="1">
        <v>96</v>
      </c>
      <c r="L23" s="4">
        <f t="shared" si="2"/>
        <v>3203.5199999999995</v>
      </c>
    </row>
    <row r="24" spans="1:12" x14ac:dyDescent="0.3">
      <c r="A24" s="1">
        <v>2025</v>
      </c>
      <c r="B24" s="20">
        <f t="shared" si="0"/>
        <v>45900</v>
      </c>
      <c r="C24" s="1">
        <v>29</v>
      </c>
      <c r="D24" s="1" t="s">
        <v>4</v>
      </c>
      <c r="E24" s="2">
        <v>39.880000000000003</v>
      </c>
      <c r="F24" s="1">
        <v>4</v>
      </c>
      <c r="H24" s="21" t="str">
        <f t="shared" si="1"/>
        <v/>
      </c>
      <c r="I24" s="21"/>
      <c r="J24" s="3">
        <v>39.880000000000003</v>
      </c>
      <c r="K24" s="1">
        <v>65</v>
      </c>
      <c r="L24" s="4">
        <f t="shared" si="2"/>
        <v>2592.2000000000003</v>
      </c>
    </row>
    <row r="25" spans="1:12" x14ac:dyDescent="0.3">
      <c r="A25" s="1">
        <v>2025</v>
      </c>
      <c r="B25" s="20">
        <f t="shared" si="0"/>
        <v>45900</v>
      </c>
      <c r="C25" s="1">
        <v>30</v>
      </c>
      <c r="D25" s="1" t="s">
        <v>3</v>
      </c>
      <c r="E25" s="2">
        <v>34.229999999999997</v>
      </c>
      <c r="F25" s="1">
        <v>4</v>
      </c>
      <c r="H25" s="21" t="str">
        <f t="shared" si="1"/>
        <v/>
      </c>
      <c r="I25" s="21"/>
      <c r="J25" s="3">
        <v>34.229999999999997</v>
      </c>
      <c r="K25" s="1">
        <v>88</v>
      </c>
      <c r="L25" s="4">
        <f t="shared" si="2"/>
        <v>3012.24</v>
      </c>
    </row>
    <row r="26" spans="1:12" x14ac:dyDescent="0.3">
      <c r="A26" s="1">
        <v>2025</v>
      </c>
      <c r="B26" s="20">
        <f t="shared" si="0"/>
        <v>45900</v>
      </c>
      <c r="C26" s="1">
        <v>31</v>
      </c>
      <c r="D26" s="1" t="s">
        <v>2</v>
      </c>
      <c r="E26" s="2">
        <v>16.71</v>
      </c>
      <c r="F26" s="1">
        <v>4</v>
      </c>
      <c r="H26" s="21" t="str">
        <f t="shared" si="1"/>
        <v/>
      </c>
      <c r="I26" s="21"/>
      <c r="J26" s="3">
        <v>16.71</v>
      </c>
      <c r="K26" s="1">
        <v>50</v>
      </c>
      <c r="L26" s="4">
        <f t="shared" si="2"/>
        <v>835.5</v>
      </c>
    </row>
    <row r="27" spans="1:12" x14ac:dyDescent="0.3">
      <c r="A27" s="1">
        <v>2025</v>
      </c>
      <c r="B27" s="20">
        <f t="shared" si="0"/>
        <v>45900</v>
      </c>
      <c r="C27" s="1">
        <v>32</v>
      </c>
      <c r="D27" s="1" t="s">
        <v>2</v>
      </c>
      <c r="E27" s="2">
        <v>12.04</v>
      </c>
      <c r="F27" s="1">
        <v>4</v>
      </c>
      <c r="H27" s="21" t="str">
        <f t="shared" si="1"/>
        <v/>
      </c>
      <c r="I27" s="21"/>
      <c r="J27" s="3">
        <v>12.04</v>
      </c>
      <c r="K27" s="1">
        <v>50</v>
      </c>
      <c r="L27" s="4">
        <f t="shared" si="2"/>
        <v>602</v>
      </c>
    </row>
    <row r="28" spans="1:12" x14ac:dyDescent="0.3">
      <c r="A28" s="1">
        <v>2025</v>
      </c>
      <c r="B28" s="20">
        <f t="shared" si="0"/>
        <v>45900</v>
      </c>
      <c r="C28" s="1">
        <v>33</v>
      </c>
      <c r="D28" s="1" t="s">
        <v>5</v>
      </c>
      <c r="E28" s="2">
        <v>8.81</v>
      </c>
      <c r="F28" s="1">
        <v>3</v>
      </c>
      <c r="H28" s="21" t="str">
        <f t="shared" si="1"/>
        <v/>
      </c>
      <c r="I28" s="21"/>
      <c r="J28" s="3">
        <v>8.81</v>
      </c>
      <c r="K28" s="1">
        <v>76</v>
      </c>
      <c r="L28" s="4">
        <f t="shared" si="2"/>
        <v>669.56000000000006</v>
      </c>
    </row>
    <row r="29" spans="1:12" x14ac:dyDescent="0.3">
      <c r="A29" s="1">
        <v>2025</v>
      </c>
      <c r="B29" s="20">
        <f t="shared" si="0"/>
        <v>45900</v>
      </c>
      <c r="C29" s="1">
        <v>52</v>
      </c>
      <c r="D29" s="1" t="s">
        <v>23</v>
      </c>
      <c r="E29" s="2">
        <v>13.63</v>
      </c>
      <c r="F29" s="1">
        <v>1</v>
      </c>
      <c r="G29" s="20">
        <v>45627</v>
      </c>
      <c r="H29" s="21">
        <f t="shared" si="1"/>
        <v>8</v>
      </c>
      <c r="I29" s="21"/>
      <c r="J29" s="3">
        <v>13.63</v>
      </c>
      <c r="K29" s="1">
        <v>52</v>
      </c>
      <c r="L29" s="4">
        <f t="shared" si="2"/>
        <v>708.76</v>
      </c>
    </row>
    <row r="30" spans="1:12" x14ac:dyDescent="0.3">
      <c r="A30" s="1">
        <v>2025</v>
      </c>
      <c r="B30" s="20">
        <f t="shared" si="0"/>
        <v>45900</v>
      </c>
      <c r="C30" s="1">
        <v>53</v>
      </c>
      <c r="D30" s="1" t="s">
        <v>4</v>
      </c>
      <c r="E30" s="2">
        <v>22.19</v>
      </c>
      <c r="F30" s="1">
        <v>2</v>
      </c>
      <c r="H30" s="21" t="str">
        <f t="shared" si="1"/>
        <v/>
      </c>
      <c r="I30" s="21"/>
      <c r="J30" s="3">
        <v>22.19</v>
      </c>
      <c r="K30" s="1">
        <v>100</v>
      </c>
      <c r="L30" s="4">
        <f t="shared" si="2"/>
        <v>2219</v>
      </c>
    </row>
    <row r="31" spans="1:12" x14ac:dyDescent="0.3">
      <c r="A31" s="1">
        <v>2025</v>
      </c>
      <c r="B31" s="20">
        <f t="shared" si="0"/>
        <v>45900</v>
      </c>
      <c r="C31" s="1">
        <v>54</v>
      </c>
      <c r="D31" s="1" t="s">
        <v>4</v>
      </c>
      <c r="E31" s="2">
        <v>14.75</v>
      </c>
      <c r="F31" s="1">
        <v>2</v>
      </c>
      <c r="H31" s="21" t="str">
        <f t="shared" si="1"/>
        <v/>
      </c>
      <c r="I31" s="21"/>
      <c r="J31" s="3">
        <v>14.75</v>
      </c>
      <c r="K31" s="1">
        <v>110</v>
      </c>
      <c r="L31" s="4">
        <f t="shared" si="2"/>
        <v>1622.5</v>
      </c>
    </row>
    <row r="32" spans="1:12" x14ac:dyDescent="0.3">
      <c r="A32" s="1">
        <v>2025</v>
      </c>
      <c r="B32" s="20">
        <f t="shared" si="0"/>
        <v>45900</v>
      </c>
      <c r="C32" s="1">
        <v>55</v>
      </c>
      <c r="D32" s="1" t="s">
        <v>4</v>
      </c>
      <c r="E32" s="2">
        <v>21.94</v>
      </c>
      <c r="F32" s="1">
        <v>2</v>
      </c>
      <c r="H32" s="21" t="str">
        <f t="shared" si="1"/>
        <v/>
      </c>
      <c r="I32" s="21"/>
      <c r="J32" s="3">
        <v>21.94</v>
      </c>
      <c r="K32" s="1">
        <v>110</v>
      </c>
      <c r="L32" s="4">
        <f t="shared" si="2"/>
        <v>2413.4</v>
      </c>
    </row>
    <row r="33" spans="1:12" x14ac:dyDescent="0.3">
      <c r="A33" s="1">
        <v>2025</v>
      </c>
      <c r="B33" s="20">
        <f t="shared" si="0"/>
        <v>45900</v>
      </c>
      <c r="C33" s="1">
        <v>58</v>
      </c>
      <c r="D33" s="1" t="s">
        <v>4</v>
      </c>
      <c r="E33" s="2">
        <v>51.11</v>
      </c>
      <c r="F33" s="1">
        <v>3</v>
      </c>
      <c r="H33" s="21" t="str">
        <f t="shared" si="1"/>
        <v/>
      </c>
      <c r="I33" s="21"/>
      <c r="J33" s="3">
        <v>51.11</v>
      </c>
      <c r="K33" s="1">
        <v>101</v>
      </c>
      <c r="L33" s="4">
        <f t="shared" si="2"/>
        <v>5162.1099999999997</v>
      </c>
    </row>
    <row r="34" spans="1:12" x14ac:dyDescent="0.3">
      <c r="A34" s="1">
        <v>2025</v>
      </c>
      <c r="B34" s="20">
        <f t="shared" si="0"/>
        <v>45900</v>
      </c>
      <c r="C34" s="1">
        <v>61</v>
      </c>
      <c r="D34" s="1" t="s">
        <v>2</v>
      </c>
      <c r="E34" s="2">
        <v>1.1000000000000001</v>
      </c>
      <c r="F34" s="1">
        <v>5</v>
      </c>
      <c r="H34" s="21" t="str">
        <f t="shared" si="1"/>
        <v/>
      </c>
      <c r="I34" s="21"/>
      <c r="J34" s="3">
        <v>1.1000000000000001</v>
      </c>
      <c r="K34" s="1">
        <v>67.94</v>
      </c>
      <c r="L34" s="4">
        <f t="shared" si="2"/>
        <v>74.734000000000009</v>
      </c>
    </row>
    <row r="35" spans="1:12" x14ac:dyDescent="0.3">
      <c r="A35" s="1">
        <v>2025</v>
      </c>
      <c r="B35" s="20">
        <f t="shared" si="0"/>
        <v>45900</v>
      </c>
      <c r="C35" s="1">
        <v>62</v>
      </c>
      <c r="D35" s="1" t="s">
        <v>3</v>
      </c>
      <c r="E35" s="2">
        <v>9.31</v>
      </c>
      <c r="F35" s="1">
        <v>5</v>
      </c>
      <c r="H35" s="21" t="str">
        <f t="shared" si="1"/>
        <v/>
      </c>
      <c r="I35" s="21"/>
      <c r="J35" s="3">
        <v>9.31</v>
      </c>
      <c r="K35" s="1">
        <v>69</v>
      </c>
      <c r="L35" s="4">
        <f t="shared" si="2"/>
        <v>642.39</v>
      </c>
    </row>
    <row r="36" spans="1:12" x14ac:dyDescent="0.3">
      <c r="A36" s="1">
        <v>2025</v>
      </c>
      <c r="B36" s="20">
        <f t="shared" si="0"/>
        <v>45900</v>
      </c>
      <c r="C36" s="1">
        <v>64</v>
      </c>
      <c r="D36" s="1" t="s">
        <v>4</v>
      </c>
      <c r="E36" s="2">
        <v>19.93</v>
      </c>
      <c r="F36" s="1">
        <v>4</v>
      </c>
      <c r="H36" s="21" t="str">
        <f t="shared" si="1"/>
        <v/>
      </c>
      <c r="I36" s="21"/>
      <c r="J36" s="3">
        <v>19.93</v>
      </c>
      <c r="K36" s="1">
        <v>89</v>
      </c>
      <c r="L36" s="4">
        <f t="shared" si="2"/>
        <v>1773.77</v>
      </c>
    </row>
    <row r="37" spans="1:12" x14ac:dyDescent="0.3">
      <c r="A37" s="1">
        <v>2025</v>
      </c>
      <c r="B37" s="20">
        <f t="shared" si="0"/>
        <v>45900</v>
      </c>
      <c r="C37" s="1">
        <v>65</v>
      </c>
      <c r="D37" s="1" t="s">
        <v>4</v>
      </c>
      <c r="E37" s="2">
        <v>8.5299999999999994</v>
      </c>
      <c r="F37" s="1">
        <v>4</v>
      </c>
      <c r="H37" s="21" t="str">
        <f t="shared" si="1"/>
        <v/>
      </c>
      <c r="I37" s="21"/>
      <c r="J37" s="3">
        <v>8.5299999999999994</v>
      </c>
      <c r="K37" s="1">
        <v>89</v>
      </c>
      <c r="L37" s="4">
        <f t="shared" si="2"/>
        <v>759.17</v>
      </c>
    </row>
    <row r="38" spans="1:12" x14ac:dyDescent="0.3">
      <c r="A38" s="1">
        <v>2025</v>
      </c>
      <c r="B38" s="20">
        <f t="shared" si="0"/>
        <v>45900</v>
      </c>
      <c r="C38" s="1">
        <v>66</v>
      </c>
      <c r="D38" s="1" t="s">
        <v>4</v>
      </c>
      <c r="E38" s="2">
        <v>9.0500000000000007</v>
      </c>
      <c r="F38" s="1">
        <v>4</v>
      </c>
      <c r="H38" s="21" t="str">
        <f t="shared" si="1"/>
        <v/>
      </c>
      <c r="I38" s="21"/>
      <c r="J38" s="3">
        <v>9.0500000000000007</v>
      </c>
      <c r="K38" s="1">
        <v>89</v>
      </c>
      <c r="L38" s="4">
        <f t="shared" si="2"/>
        <v>805.45</v>
      </c>
    </row>
    <row r="39" spans="1:12" x14ac:dyDescent="0.3">
      <c r="A39" s="1">
        <v>2025</v>
      </c>
      <c r="B39" s="20">
        <f t="shared" si="0"/>
        <v>45900</v>
      </c>
      <c r="C39" s="1">
        <v>67</v>
      </c>
      <c r="D39" s="1" t="s">
        <v>4</v>
      </c>
      <c r="E39" s="2">
        <v>13.8</v>
      </c>
      <c r="F39" s="1">
        <v>4</v>
      </c>
      <c r="H39" s="21" t="str">
        <f t="shared" si="1"/>
        <v/>
      </c>
      <c r="I39" s="21"/>
      <c r="J39" s="3">
        <v>13.8</v>
      </c>
      <c r="K39" s="1">
        <v>89</v>
      </c>
      <c r="L39" s="4">
        <f t="shared" si="2"/>
        <v>1228.2</v>
      </c>
    </row>
    <row r="40" spans="1:12" x14ac:dyDescent="0.3">
      <c r="A40" s="1">
        <v>2025</v>
      </c>
      <c r="B40" s="20">
        <f t="shared" si="0"/>
        <v>45900</v>
      </c>
      <c r="C40" s="1">
        <v>69</v>
      </c>
      <c r="D40" s="1" t="s">
        <v>4</v>
      </c>
      <c r="E40" s="2">
        <v>7.26</v>
      </c>
      <c r="F40" s="1">
        <v>4</v>
      </c>
      <c r="H40" s="21" t="str">
        <f t="shared" si="1"/>
        <v/>
      </c>
      <c r="I40" s="21"/>
      <c r="J40" s="3">
        <v>7.26</v>
      </c>
      <c r="K40" s="1">
        <v>89</v>
      </c>
      <c r="L40" s="4">
        <f t="shared" si="2"/>
        <v>646.14</v>
      </c>
    </row>
    <row r="41" spans="1:12" x14ac:dyDescent="0.3">
      <c r="A41" s="1">
        <v>2025</v>
      </c>
      <c r="B41" s="20">
        <f t="shared" si="0"/>
        <v>45900</v>
      </c>
      <c r="C41" s="1">
        <v>79</v>
      </c>
      <c r="D41" s="1" t="s">
        <v>3</v>
      </c>
      <c r="E41" s="2">
        <v>24.76</v>
      </c>
      <c r="F41" s="1">
        <v>4</v>
      </c>
      <c r="H41" s="21" t="str">
        <f t="shared" si="1"/>
        <v/>
      </c>
      <c r="I41" s="21"/>
      <c r="J41" s="3">
        <v>24.76</v>
      </c>
      <c r="K41" s="1">
        <v>85</v>
      </c>
      <c r="L41" s="4">
        <f t="shared" si="2"/>
        <v>2104.6</v>
      </c>
    </row>
    <row r="42" spans="1:12" x14ac:dyDescent="0.3">
      <c r="A42" s="1">
        <v>2025</v>
      </c>
      <c r="B42" s="20">
        <f t="shared" si="0"/>
        <v>45900</v>
      </c>
      <c r="C42" s="1">
        <v>83</v>
      </c>
      <c r="D42" s="1" t="s">
        <v>3</v>
      </c>
      <c r="E42" s="2">
        <v>0.32</v>
      </c>
      <c r="F42" s="1">
        <v>4</v>
      </c>
      <c r="H42" s="21" t="str">
        <f t="shared" si="1"/>
        <v/>
      </c>
      <c r="I42" s="21"/>
      <c r="J42" s="3">
        <v>0.32</v>
      </c>
      <c r="K42" s="1">
        <v>90</v>
      </c>
      <c r="L42" s="4">
        <f t="shared" si="2"/>
        <v>28.8</v>
      </c>
    </row>
    <row r="43" spans="1:12" x14ac:dyDescent="0.3">
      <c r="A43" s="1">
        <v>2025</v>
      </c>
      <c r="B43" s="20">
        <f t="shared" si="0"/>
        <v>45900</v>
      </c>
      <c r="C43" s="1">
        <v>84</v>
      </c>
      <c r="D43" s="1" t="s">
        <v>3</v>
      </c>
      <c r="E43" s="2">
        <v>16.54</v>
      </c>
      <c r="F43" s="1">
        <v>4</v>
      </c>
      <c r="H43" s="21" t="str">
        <f t="shared" si="1"/>
        <v/>
      </c>
      <c r="I43" s="21"/>
      <c r="J43" s="3">
        <v>16.54</v>
      </c>
      <c r="K43" s="1">
        <v>85</v>
      </c>
      <c r="L43" s="4">
        <f t="shared" si="2"/>
        <v>1405.8999999999999</v>
      </c>
    </row>
    <row r="44" spans="1:12" x14ac:dyDescent="0.3">
      <c r="A44" s="1">
        <v>2025</v>
      </c>
      <c r="B44" s="20">
        <f t="shared" si="0"/>
        <v>45900</v>
      </c>
      <c r="C44" s="1">
        <v>85</v>
      </c>
      <c r="D44" s="1" t="s">
        <v>2</v>
      </c>
      <c r="E44" s="2">
        <v>3.67</v>
      </c>
      <c r="F44" s="1">
        <v>4</v>
      </c>
      <c r="H44" s="21" t="str">
        <f t="shared" si="1"/>
        <v/>
      </c>
      <c r="I44" s="21"/>
      <c r="J44" s="3">
        <v>3.67</v>
      </c>
      <c r="K44" s="1">
        <v>49</v>
      </c>
      <c r="L44" s="4">
        <f t="shared" si="2"/>
        <v>179.82999999999998</v>
      </c>
    </row>
    <row r="45" spans="1:12" x14ac:dyDescent="0.3">
      <c r="A45" s="1">
        <v>2025</v>
      </c>
      <c r="B45" s="20">
        <f t="shared" si="0"/>
        <v>45900</v>
      </c>
      <c r="C45" s="1">
        <v>86</v>
      </c>
      <c r="D45" s="1" t="s">
        <v>2</v>
      </c>
      <c r="E45" s="2">
        <v>2.99</v>
      </c>
      <c r="F45" s="1">
        <v>4</v>
      </c>
      <c r="H45" s="21" t="str">
        <f t="shared" si="1"/>
        <v/>
      </c>
      <c r="I45" s="21"/>
      <c r="J45" s="3">
        <v>2.99</v>
      </c>
      <c r="K45" s="1">
        <v>49</v>
      </c>
      <c r="L45" s="4">
        <f t="shared" si="2"/>
        <v>146.51000000000002</v>
      </c>
    </row>
    <row r="46" spans="1:12" x14ac:dyDescent="0.3">
      <c r="A46" s="1">
        <v>2025</v>
      </c>
      <c r="B46" s="20">
        <f t="shared" si="0"/>
        <v>45900</v>
      </c>
      <c r="C46" s="1">
        <v>87</v>
      </c>
      <c r="D46" s="1" t="s">
        <v>3</v>
      </c>
      <c r="E46" s="2">
        <v>20.76</v>
      </c>
      <c r="F46" s="1">
        <v>4</v>
      </c>
      <c r="H46" s="21" t="str">
        <f t="shared" si="1"/>
        <v/>
      </c>
      <c r="I46" s="21"/>
      <c r="J46" s="3">
        <v>20.76</v>
      </c>
      <c r="K46" s="1">
        <v>75</v>
      </c>
      <c r="L46" s="4">
        <f t="shared" si="2"/>
        <v>1557.0000000000002</v>
      </c>
    </row>
    <row r="47" spans="1:12" x14ac:dyDescent="0.3">
      <c r="A47" s="1">
        <v>2025</v>
      </c>
      <c r="B47" s="20">
        <f t="shared" si="0"/>
        <v>45900</v>
      </c>
      <c r="C47" s="1">
        <v>92</v>
      </c>
      <c r="D47" s="1" t="s">
        <v>23</v>
      </c>
      <c r="E47" s="2">
        <v>39.67</v>
      </c>
      <c r="F47" s="1">
        <v>2</v>
      </c>
      <c r="H47" s="21" t="str">
        <f t="shared" si="1"/>
        <v/>
      </c>
      <c r="I47" s="21"/>
      <c r="J47" s="3">
        <v>39.67</v>
      </c>
      <c r="K47" s="1">
        <v>120</v>
      </c>
      <c r="L47" s="4">
        <f t="shared" si="2"/>
        <v>4760.4000000000005</v>
      </c>
    </row>
    <row r="48" spans="1:12" x14ac:dyDescent="0.3">
      <c r="A48" s="1">
        <v>2025</v>
      </c>
      <c r="B48" s="20">
        <f t="shared" si="0"/>
        <v>45900</v>
      </c>
      <c r="C48" s="1">
        <v>93</v>
      </c>
      <c r="D48" s="1" t="s">
        <v>3</v>
      </c>
      <c r="E48" s="2">
        <v>26.99</v>
      </c>
      <c r="F48" s="1">
        <v>6</v>
      </c>
      <c r="H48" s="21" t="str">
        <f t="shared" si="1"/>
        <v/>
      </c>
      <c r="I48" s="21"/>
      <c r="J48" s="3">
        <v>26.99</v>
      </c>
      <c r="K48" s="1">
        <v>73</v>
      </c>
      <c r="L48" s="4">
        <f t="shared" si="2"/>
        <v>1970.27</v>
      </c>
    </row>
    <row r="49" spans="1:12" x14ac:dyDescent="0.3">
      <c r="A49" s="1">
        <v>2025</v>
      </c>
      <c r="B49" s="20">
        <f t="shared" si="0"/>
        <v>45900</v>
      </c>
      <c r="C49" s="1">
        <v>94</v>
      </c>
      <c r="D49" s="1" t="s">
        <v>3</v>
      </c>
      <c r="E49" s="2">
        <v>34.94</v>
      </c>
      <c r="F49" s="1">
        <v>6</v>
      </c>
      <c r="H49" s="21" t="str">
        <f t="shared" si="1"/>
        <v/>
      </c>
      <c r="I49" s="21"/>
      <c r="J49" s="3">
        <v>34.94</v>
      </c>
      <c r="K49" s="1">
        <v>89</v>
      </c>
      <c r="L49" s="4">
        <f t="shared" si="2"/>
        <v>3109.66</v>
      </c>
    </row>
    <row r="50" spans="1:12" x14ac:dyDescent="0.3">
      <c r="A50" s="1">
        <v>2025</v>
      </c>
      <c r="B50" s="20">
        <f t="shared" si="0"/>
        <v>45900</v>
      </c>
      <c r="C50" s="1">
        <v>95</v>
      </c>
      <c r="D50" s="1" t="s">
        <v>3</v>
      </c>
      <c r="E50" s="2">
        <v>38.32</v>
      </c>
      <c r="F50" s="1">
        <v>6</v>
      </c>
      <c r="H50" s="21" t="str">
        <f t="shared" si="1"/>
        <v/>
      </c>
      <c r="I50" s="21"/>
      <c r="J50" s="3">
        <v>38.32</v>
      </c>
      <c r="K50" s="1">
        <v>73</v>
      </c>
      <c r="L50" s="4">
        <f t="shared" si="2"/>
        <v>2797.36</v>
      </c>
    </row>
    <row r="51" spans="1:12" x14ac:dyDescent="0.3">
      <c r="A51" s="1">
        <v>2025</v>
      </c>
      <c r="B51" s="20">
        <f t="shared" si="0"/>
        <v>45900</v>
      </c>
      <c r="C51" s="1">
        <v>96</v>
      </c>
      <c r="D51" s="1" t="s">
        <v>23</v>
      </c>
      <c r="E51" s="2">
        <v>12.13</v>
      </c>
      <c r="F51" s="1">
        <v>1</v>
      </c>
      <c r="G51" s="20">
        <v>45658</v>
      </c>
      <c r="H51" s="21">
        <f t="shared" si="1"/>
        <v>7</v>
      </c>
      <c r="I51" s="21"/>
      <c r="J51" s="3">
        <f>K51</f>
        <v>0</v>
      </c>
      <c r="K51" s="1">
        <v>0</v>
      </c>
      <c r="L51" s="4">
        <f t="shared" si="2"/>
        <v>0</v>
      </c>
    </row>
    <row r="52" spans="1:12" x14ac:dyDescent="0.3">
      <c r="A52" s="1">
        <v>2025</v>
      </c>
      <c r="B52" s="20">
        <f t="shared" si="0"/>
        <v>45900</v>
      </c>
      <c r="C52" s="1">
        <v>98</v>
      </c>
      <c r="D52" s="1" t="s">
        <v>27</v>
      </c>
      <c r="E52" s="2">
        <v>14.49</v>
      </c>
      <c r="F52" s="1">
        <v>1</v>
      </c>
      <c r="G52" s="20">
        <v>45658</v>
      </c>
      <c r="H52" s="21">
        <f t="shared" si="1"/>
        <v>7</v>
      </c>
      <c r="I52" s="21"/>
      <c r="J52" s="3">
        <f>K52</f>
        <v>0</v>
      </c>
      <c r="K52" s="1">
        <v>0</v>
      </c>
      <c r="L52" s="4">
        <f t="shared" si="2"/>
        <v>0</v>
      </c>
    </row>
    <row r="53" spans="1:12" x14ac:dyDescent="0.3">
      <c r="A53" s="1">
        <v>2025</v>
      </c>
      <c r="B53" s="20">
        <f t="shared" si="0"/>
        <v>45900</v>
      </c>
      <c r="C53" s="1">
        <v>99</v>
      </c>
      <c r="D53" s="1" t="s">
        <v>23</v>
      </c>
      <c r="E53" s="2">
        <v>30.46</v>
      </c>
      <c r="F53" s="1">
        <v>1</v>
      </c>
      <c r="G53" s="20">
        <v>45658</v>
      </c>
      <c r="H53" s="21">
        <f t="shared" si="1"/>
        <v>7</v>
      </c>
      <c r="I53" s="21"/>
      <c r="J53" s="3">
        <f>K53</f>
        <v>0</v>
      </c>
      <c r="K53" s="1">
        <v>0</v>
      </c>
      <c r="L53" s="4">
        <f t="shared" si="2"/>
        <v>0</v>
      </c>
    </row>
    <row r="54" spans="1:12" x14ac:dyDescent="0.3">
      <c r="A54" s="1">
        <v>2025</v>
      </c>
      <c r="B54" s="20">
        <f t="shared" si="0"/>
        <v>45900</v>
      </c>
      <c r="C54" s="1">
        <v>100</v>
      </c>
      <c r="D54" s="1" t="s">
        <v>3</v>
      </c>
      <c r="E54" s="2">
        <v>19.100000000000001</v>
      </c>
      <c r="F54" s="1">
        <v>5</v>
      </c>
      <c r="H54" s="21" t="str">
        <f t="shared" si="1"/>
        <v/>
      </c>
      <c r="I54" s="21"/>
      <c r="J54" s="3">
        <v>19.100000000000001</v>
      </c>
      <c r="K54" s="1">
        <v>60</v>
      </c>
      <c r="L54" s="4">
        <f t="shared" si="2"/>
        <v>1146</v>
      </c>
    </row>
    <row r="55" spans="1:12" x14ac:dyDescent="0.3">
      <c r="A55" s="1">
        <v>2025</v>
      </c>
      <c r="B55" s="20">
        <f t="shared" si="0"/>
        <v>45900</v>
      </c>
      <c r="C55" s="1">
        <v>101</v>
      </c>
      <c r="D55" s="1" t="s">
        <v>5</v>
      </c>
      <c r="E55" s="2">
        <v>24.8</v>
      </c>
      <c r="F55" s="1">
        <v>1</v>
      </c>
      <c r="G55" s="20">
        <v>45627</v>
      </c>
      <c r="H55" s="21">
        <f t="shared" si="1"/>
        <v>8</v>
      </c>
      <c r="I55" s="21"/>
      <c r="J55" s="3">
        <v>24.8</v>
      </c>
      <c r="K55" s="1">
        <v>48.31</v>
      </c>
      <c r="L55" s="4">
        <f t="shared" si="2"/>
        <v>1198.0880000000002</v>
      </c>
    </row>
    <row r="56" spans="1:12" x14ac:dyDescent="0.3">
      <c r="A56" s="1">
        <v>2025</v>
      </c>
      <c r="B56" s="20">
        <f t="shared" si="0"/>
        <v>45900</v>
      </c>
      <c r="C56" s="1">
        <v>102</v>
      </c>
      <c r="D56" s="1" t="s">
        <v>3</v>
      </c>
      <c r="E56" s="2">
        <v>26.37</v>
      </c>
      <c r="F56" s="1">
        <v>5</v>
      </c>
      <c r="H56" s="21" t="str">
        <f t="shared" si="1"/>
        <v/>
      </c>
      <c r="I56" s="21"/>
      <c r="J56" s="3">
        <v>26.37</v>
      </c>
      <c r="K56" s="1">
        <v>60</v>
      </c>
      <c r="L56" s="4">
        <f t="shared" si="2"/>
        <v>1582.2</v>
      </c>
    </row>
    <row r="57" spans="1:12" x14ac:dyDescent="0.3">
      <c r="A57" s="1">
        <v>2025</v>
      </c>
      <c r="B57" s="20">
        <f t="shared" si="0"/>
        <v>45900</v>
      </c>
      <c r="C57" s="1">
        <v>103</v>
      </c>
      <c r="D57" s="1" t="s">
        <v>5</v>
      </c>
      <c r="E57" s="2">
        <v>12.59</v>
      </c>
      <c r="F57" s="1">
        <v>1</v>
      </c>
      <c r="G57" s="20">
        <v>45627</v>
      </c>
      <c r="H57" s="21">
        <f t="shared" si="1"/>
        <v>8</v>
      </c>
      <c r="I57" s="21"/>
      <c r="J57" s="3">
        <v>12.59</v>
      </c>
      <c r="K57" s="1">
        <v>48.2</v>
      </c>
      <c r="L57" s="4">
        <f t="shared" si="2"/>
        <v>606.83800000000008</v>
      </c>
    </row>
    <row r="58" spans="1:12" x14ac:dyDescent="0.3">
      <c r="A58" s="1">
        <v>2025</v>
      </c>
      <c r="B58" s="20">
        <f t="shared" si="0"/>
        <v>45900</v>
      </c>
      <c r="C58" s="1">
        <v>104</v>
      </c>
      <c r="D58" s="1" t="s">
        <v>23</v>
      </c>
      <c r="E58" s="2">
        <v>19.16</v>
      </c>
      <c r="F58" s="1">
        <v>1</v>
      </c>
      <c r="G58" s="20">
        <v>45658</v>
      </c>
      <c r="H58" s="21">
        <f t="shared" si="1"/>
        <v>7</v>
      </c>
      <c r="I58" s="21"/>
      <c r="J58" s="3">
        <f>K58</f>
        <v>0</v>
      </c>
      <c r="K58" s="1">
        <v>0</v>
      </c>
      <c r="L58" s="4">
        <f t="shared" si="2"/>
        <v>0</v>
      </c>
    </row>
    <row r="59" spans="1:12" x14ac:dyDescent="0.3">
      <c r="A59" s="1">
        <v>2025</v>
      </c>
      <c r="B59" s="20">
        <f t="shared" si="0"/>
        <v>45900</v>
      </c>
      <c r="C59" s="1">
        <v>105</v>
      </c>
      <c r="D59" s="1" t="s">
        <v>3</v>
      </c>
      <c r="E59" s="2">
        <v>38.049999999999997</v>
      </c>
      <c r="F59" s="1">
        <v>4</v>
      </c>
      <c r="H59" s="21" t="str">
        <f t="shared" si="1"/>
        <v/>
      </c>
      <c r="I59" s="21"/>
      <c r="J59" s="3">
        <v>38.049999999999997</v>
      </c>
      <c r="K59" s="1">
        <v>85</v>
      </c>
      <c r="L59" s="4">
        <f t="shared" si="2"/>
        <v>3234.2499999999995</v>
      </c>
    </row>
    <row r="60" spans="1:12" x14ac:dyDescent="0.3">
      <c r="A60" s="1">
        <v>2025</v>
      </c>
      <c r="B60" s="20">
        <f t="shared" si="0"/>
        <v>45900</v>
      </c>
      <c r="C60" s="1">
        <v>106</v>
      </c>
      <c r="D60" s="1" t="s">
        <v>4</v>
      </c>
      <c r="E60" s="2">
        <v>12.29</v>
      </c>
      <c r="F60" s="1">
        <v>5</v>
      </c>
      <c r="H60" s="21" t="str">
        <f t="shared" si="1"/>
        <v/>
      </c>
      <c r="I60" s="21"/>
      <c r="J60" s="3">
        <v>12.29</v>
      </c>
      <c r="K60" s="1">
        <v>59</v>
      </c>
      <c r="L60" s="4">
        <f t="shared" si="2"/>
        <v>725.1099999999999</v>
      </c>
    </row>
    <row r="61" spans="1:12" x14ac:dyDescent="0.3">
      <c r="A61" s="1">
        <v>2025</v>
      </c>
      <c r="B61" s="20">
        <f t="shared" si="0"/>
        <v>45900</v>
      </c>
      <c r="C61" s="1">
        <v>108</v>
      </c>
      <c r="D61" s="1" t="s">
        <v>4</v>
      </c>
      <c r="E61" s="2">
        <v>13.48</v>
      </c>
      <c r="F61" s="1">
        <v>3</v>
      </c>
      <c r="H61" s="21" t="str">
        <f t="shared" si="1"/>
        <v/>
      </c>
      <c r="I61" s="21"/>
      <c r="J61" s="3">
        <v>13.48</v>
      </c>
      <c r="K61" s="1">
        <v>70</v>
      </c>
      <c r="L61" s="4">
        <f t="shared" si="2"/>
        <v>943.6</v>
      </c>
    </row>
    <row r="62" spans="1:12" x14ac:dyDescent="0.3">
      <c r="A62" s="1">
        <v>2025</v>
      </c>
      <c r="B62" s="20">
        <f t="shared" si="0"/>
        <v>45900</v>
      </c>
      <c r="C62" s="1">
        <v>109</v>
      </c>
      <c r="D62" s="1" t="s">
        <v>4</v>
      </c>
      <c r="E62" s="2">
        <v>45.7</v>
      </c>
      <c r="F62" s="1">
        <v>2</v>
      </c>
      <c r="H62" s="21" t="str">
        <f t="shared" si="1"/>
        <v/>
      </c>
      <c r="I62" s="21"/>
      <c r="J62" s="3">
        <v>45.7</v>
      </c>
      <c r="K62" s="1">
        <v>90</v>
      </c>
      <c r="L62" s="4">
        <f t="shared" si="2"/>
        <v>4113</v>
      </c>
    </row>
    <row r="63" spans="1:12" x14ac:dyDescent="0.3">
      <c r="A63" s="1">
        <v>2015</v>
      </c>
      <c r="B63" s="20">
        <f t="shared" si="0"/>
        <v>42247</v>
      </c>
      <c r="C63" s="1">
        <v>1</v>
      </c>
      <c r="D63" s="1" t="s">
        <v>24</v>
      </c>
      <c r="E63" s="2">
        <v>13.74</v>
      </c>
      <c r="F63" s="1" t="s">
        <v>32</v>
      </c>
      <c r="H63" s="21" t="str">
        <f t="shared" si="1"/>
        <v/>
      </c>
      <c r="I63" s="21"/>
      <c r="J63" s="3">
        <v>13.74</v>
      </c>
      <c r="K63" s="1">
        <v>99.82</v>
      </c>
      <c r="L63" s="4">
        <f t="shared" si="2"/>
        <v>1371.5267999999999</v>
      </c>
    </row>
    <row r="64" spans="1:12" x14ac:dyDescent="0.3">
      <c r="A64" s="1">
        <v>2015</v>
      </c>
      <c r="B64" s="20">
        <f t="shared" si="0"/>
        <v>42247</v>
      </c>
      <c r="C64" s="1">
        <v>2</v>
      </c>
      <c r="D64" s="1" t="s">
        <v>24</v>
      </c>
      <c r="E64" s="2">
        <v>2.36</v>
      </c>
      <c r="F64" s="1" t="s">
        <v>32</v>
      </c>
      <c r="H64" s="21" t="str">
        <f t="shared" si="1"/>
        <v/>
      </c>
      <c r="I64" s="21"/>
      <c r="J64" s="3">
        <v>2.36</v>
      </c>
      <c r="K64" s="1">
        <v>165.42</v>
      </c>
      <c r="L64" s="4">
        <f t="shared" si="2"/>
        <v>390.39119999999997</v>
      </c>
    </row>
    <row r="65" spans="1:12" x14ac:dyDescent="0.3">
      <c r="A65" s="1">
        <v>2015</v>
      </c>
      <c r="B65" s="20">
        <f t="shared" si="0"/>
        <v>42247</v>
      </c>
      <c r="C65" s="1">
        <v>3</v>
      </c>
      <c r="D65" s="1" t="s">
        <v>24</v>
      </c>
      <c r="E65" s="2">
        <v>10.58</v>
      </c>
      <c r="F65" s="1" t="s">
        <v>28</v>
      </c>
      <c r="H65" s="21" t="str">
        <f t="shared" si="1"/>
        <v/>
      </c>
      <c r="I65" s="21"/>
      <c r="J65" s="3">
        <v>10.58</v>
      </c>
      <c r="K65" s="1">
        <v>71.87</v>
      </c>
      <c r="L65" s="4">
        <f t="shared" si="2"/>
        <v>760.38460000000009</v>
      </c>
    </row>
    <row r="66" spans="1:12" x14ac:dyDescent="0.3">
      <c r="A66" s="1">
        <v>2015</v>
      </c>
      <c r="B66" s="20">
        <f t="shared" si="0"/>
        <v>42247</v>
      </c>
      <c r="C66" s="1">
        <v>4</v>
      </c>
      <c r="D66" s="1" t="s">
        <v>24</v>
      </c>
      <c r="E66" s="2">
        <v>9.76</v>
      </c>
      <c r="F66" s="1" t="s">
        <v>28</v>
      </c>
      <c r="H66" s="21" t="str">
        <f t="shared" si="1"/>
        <v/>
      </c>
      <c r="I66" s="21"/>
      <c r="J66" s="3">
        <v>9.76</v>
      </c>
      <c r="K66" s="1">
        <v>94.43</v>
      </c>
      <c r="L66" s="4">
        <f t="shared" ref="L66:L129" si="3">J66*K66</f>
        <v>921.63679999999999</v>
      </c>
    </row>
    <row r="67" spans="1:12" x14ac:dyDescent="0.3">
      <c r="A67" s="1">
        <v>2015</v>
      </c>
      <c r="B67" s="20">
        <f t="shared" ref="B67:B130" si="4">IF(A67="","",DATE(A67,8,31))</f>
        <v>42247</v>
      </c>
      <c r="C67" s="1">
        <v>5</v>
      </c>
      <c r="D67" s="1" t="s">
        <v>2</v>
      </c>
      <c r="E67" s="2">
        <v>12.65</v>
      </c>
      <c r="F67" s="1" t="s">
        <v>28</v>
      </c>
      <c r="H67" s="21" t="str">
        <f t="shared" ref="H67:H130" si="5">IF(OR(G67="",B67=""),"",DATEDIF(G67,B67,"m"))</f>
        <v/>
      </c>
      <c r="I67" s="21"/>
      <c r="J67" s="3">
        <v>12.65</v>
      </c>
      <c r="K67" s="1">
        <v>63.82</v>
      </c>
      <c r="L67" s="4">
        <f t="shared" si="3"/>
        <v>807.32299999999998</v>
      </c>
    </row>
    <row r="68" spans="1:12" x14ac:dyDescent="0.3">
      <c r="A68" s="1">
        <v>2015</v>
      </c>
      <c r="B68" s="20">
        <f t="shared" si="4"/>
        <v>42247</v>
      </c>
      <c r="C68" s="1">
        <v>6</v>
      </c>
      <c r="D68" s="1" t="s">
        <v>2</v>
      </c>
      <c r="E68" s="2">
        <v>18.3</v>
      </c>
      <c r="F68" s="1" t="s">
        <v>28</v>
      </c>
      <c r="H68" s="21" t="str">
        <f t="shared" si="5"/>
        <v/>
      </c>
      <c r="I68" s="21"/>
      <c r="J68" s="3">
        <v>18.3</v>
      </c>
      <c r="K68" s="1">
        <v>91.23</v>
      </c>
      <c r="L68" s="4">
        <f t="shared" si="3"/>
        <v>1669.5090000000002</v>
      </c>
    </row>
    <row r="69" spans="1:12" x14ac:dyDescent="0.3">
      <c r="A69" s="1">
        <v>2015</v>
      </c>
      <c r="B69" s="20">
        <f t="shared" si="4"/>
        <v>42247</v>
      </c>
      <c r="C69" s="1">
        <v>7</v>
      </c>
      <c r="D69" s="1" t="s">
        <v>2</v>
      </c>
      <c r="E69" s="2">
        <v>9.98</v>
      </c>
      <c r="F69" s="1" t="s">
        <v>28</v>
      </c>
      <c r="H69" s="21" t="str">
        <f t="shared" si="5"/>
        <v/>
      </c>
      <c r="I69" s="21"/>
      <c r="J69" s="3">
        <v>9.98</v>
      </c>
      <c r="K69" s="1">
        <v>107.41</v>
      </c>
      <c r="L69" s="4">
        <f t="shared" si="3"/>
        <v>1071.9518</v>
      </c>
    </row>
    <row r="70" spans="1:12" x14ac:dyDescent="0.3">
      <c r="A70" s="1">
        <v>2015</v>
      </c>
      <c r="B70" s="20">
        <f t="shared" si="4"/>
        <v>42247</v>
      </c>
      <c r="C70" s="1">
        <v>8</v>
      </c>
      <c r="D70" s="1" t="s">
        <v>24</v>
      </c>
      <c r="E70" s="2">
        <v>8.17</v>
      </c>
      <c r="F70" s="1" t="s">
        <v>28</v>
      </c>
      <c r="H70" s="21" t="str">
        <f t="shared" si="5"/>
        <v/>
      </c>
      <c r="I70" s="21"/>
      <c r="J70" s="3">
        <v>8.17</v>
      </c>
      <c r="K70" s="1">
        <v>113.25</v>
      </c>
      <c r="L70" s="4">
        <f t="shared" si="3"/>
        <v>925.25249999999994</v>
      </c>
    </row>
    <row r="71" spans="1:12" x14ac:dyDescent="0.3">
      <c r="A71" s="1">
        <v>2015</v>
      </c>
      <c r="B71" s="20">
        <f t="shared" si="4"/>
        <v>42247</v>
      </c>
      <c r="C71" s="1">
        <v>9</v>
      </c>
      <c r="D71" s="1" t="s">
        <v>24</v>
      </c>
      <c r="E71" s="2">
        <v>14.39</v>
      </c>
      <c r="F71" s="1" t="s">
        <v>28</v>
      </c>
      <c r="H71" s="21" t="str">
        <f t="shared" si="5"/>
        <v/>
      </c>
      <c r="I71" s="21"/>
      <c r="J71" s="3">
        <v>14.39</v>
      </c>
      <c r="K71" s="1">
        <v>22.99</v>
      </c>
      <c r="L71" s="4">
        <f t="shared" si="3"/>
        <v>330.8261</v>
      </c>
    </row>
    <row r="72" spans="1:12" x14ac:dyDescent="0.3">
      <c r="A72" s="1">
        <v>2015</v>
      </c>
      <c r="B72" s="20">
        <f t="shared" si="4"/>
        <v>42247</v>
      </c>
      <c r="C72" s="1">
        <v>10</v>
      </c>
      <c r="D72" s="1" t="s">
        <v>2</v>
      </c>
      <c r="E72" s="2">
        <v>6.43</v>
      </c>
      <c r="F72" s="1" t="s">
        <v>28</v>
      </c>
      <c r="H72" s="21" t="str">
        <f t="shared" si="5"/>
        <v/>
      </c>
      <c r="I72" s="21"/>
      <c r="J72" s="3">
        <v>6.43</v>
      </c>
      <c r="K72" s="1">
        <v>42.05</v>
      </c>
      <c r="L72" s="4">
        <f t="shared" si="3"/>
        <v>270.38149999999996</v>
      </c>
    </row>
    <row r="73" spans="1:12" x14ac:dyDescent="0.3">
      <c r="A73" s="1">
        <v>2015</v>
      </c>
      <c r="B73" s="20">
        <f t="shared" si="4"/>
        <v>42247</v>
      </c>
      <c r="C73" s="1">
        <v>12</v>
      </c>
      <c r="D73" s="1" t="s">
        <v>2</v>
      </c>
      <c r="E73" s="2">
        <v>4.66</v>
      </c>
      <c r="F73" s="1" t="s">
        <v>28</v>
      </c>
      <c r="H73" s="21" t="str">
        <f t="shared" si="5"/>
        <v/>
      </c>
      <c r="I73" s="21"/>
      <c r="J73" s="3">
        <v>4.66</v>
      </c>
      <c r="K73" s="1">
        <v>142.61000000000001</v>
      </c>
      <c r="L73" s="4">
        <f t="shared" si="3"/>
        <v>664.56260000000009</v>
      </c>
    </row>
    <row r="74" spans="1:12" x14ac:dyDescent="0.3">
      <c r="A74" s="1">
        <v>2015</v>
      </c>
      <c r="B74" s="20">
        <f t="shared" si="4"/>
        <v>42247</v>
      </c>
      <c r="C74" s="1">
        <v>14</v>
      </c>
      <c r="D74" s="1" t="s">
        <v>2</v>
      </c>
      <c r="E74" s="2">
        <v>7.2</v>
      </c>
      <c r="F74" s="1" t="s">
        <v>28</v>
      </c>
      <c r="H74" s="21" t="str">
        <f t="shared" si="5"/>
        <v/>
      </c>
      <c r="I74" s="21"/>
      <c r="J74" s="3">
        <v>7.2</v>
      </c>
      <c r="K74" s="1">
        <v>62.48</v>
      </c>
      <c r="L74" s="4">
        <f t="shared" si="3"/>
        <v>449.85599999999999</v>
      </c>
    </row>
    <row r="75" spans="1:12" x14ac:dyDescent="0.3">
      <c r="A75" s="1">
        <v>2015</v>
      </c>
      <c r="B75" s="20">
        <f t="shared" si="4"/>
        <v>42247</v>
      </c>
      <c r="C75" s="1">
        <v>15</v>
      </c>
      <c r="D75" s="1" t="s">
        <v>3</v>
      </c>
      <c r="E75" s="2">
        <v>9.85</v>
      </c>
      <c r="F75" s="1" t="s">
        <v>28</v>
      </c>
      <c r="H75" s="21" t="str">
        <f t="shared" si="5"/>
        <v/>
      </c>
      <c r="I75" s="21"/>
      <c r="J75" s="3">
        <v>9.85</v>
      </c>
      <c r="K75" s="1">
        <v>66.58</v>
      </c>
      <c r="L75" s="4">
        <f t="shared" si="3"/>
        <v>655.81299999999999</v>
      </c>
    </row>
    <row r="76" spans="1:12" x14ac:dyDescent="0.3">
      <c r="A76" s="1">
        <v>2015</v>
      </c>
      <c r="B76" s="20">
        <f t="shared" si="4"/>
        <v>42247</v>
      </c>
      <c r="C76" s="1">
        <v>16</v>
      </c>
      <c r="D76" s="1" t="s">
        <v>3</v>
      </c>
      <c r="E76" s="2">
        <v>12.88</v>
      </c>
      <c r="F76" s="1" t="s">
        <v>28</v>
      </c>
      <c r="H76" s="21" t="str">
        <f t="shared" si="5"/>
        <v/>
      </c>
      <c r="I76" s="21"/>
      <c r="J76" s="3">
        <v>12.88</v>
      </c>
      <c r="K76" s="1">
        <v>52.03</v>
      </c>
      <c r="L76" s="4">
        <f t="shared" si="3"/>
        <v>670.14640000000009</v>
      </c>
    </row>
    <row r="77" spans="1:12" x14ac:dyDescent="0.3">
      <c r="A77" s="1">
        <v>2015</v>
      </c>
      <c r="B77" s="20">
        <f t="shared" si="4"/>
        <v>42247</v>
      </c>
      <c r="C77" s="1">
        <v>17</v>
      </c>
      <c r="D77" s="1" t="s">
        <v>2</v>
      </c>
      <c r="E77" s="2">
        <v>9.4499999999999993</v>
      </c>
      <c r="F77" s="1" t="s">
        <v>28</v>
      </c>
      <c r="H77" s="21" t="str">
        <f t="shared" si="5"/>
        <v/>
      </c>
      <c r="I77" s="21"/>
      <c r="J77" s="3">
        <v>9.4499999999999993</v>
      </c>
      <c r="K77" s="1">
        <v>62.85</v>
      </c>
      <c r="L77" s="4">
        <f t="shared" si="3"/>
        <v>593.9325</v>
      </c>
    </row>
    <row r="78" spans="1:12" x14ac:dyDescent="0.3">
      <c r="A78" s="1">
        <v>2015</v>
      </c>
      <c r="B78" s="20">
        <f t="shared" si="4"/>
        <v>42247</v>
      </c>
      <c r="C78" s="1">
        <v>18</v>
      </c>
      <c r="D78" s="1" t="s">
        <v>24</v>
      </c>
      <c r="E78" s="2">
        <v>4.12</v>
      </c>
      <c r="F78" s="1" t="s">
        <v>32</v>
      </c>
      <c r="H78" s="21" t="str">
        <f t="shared" si="5"/>
        <v/>
      </c>
      <c r="I78" s="21"/>
      <c r="J78" s="3">
        <v>4.12</v>
      </c>
      <c r="K78" s="1">
        <v>102.43</v>
      </c>
      <c r="L78" s="4">
        <f t="shared" si="3"/>
        <v>422.01160000000004</v>
      </c>
    </row>
    <row r="79" spans="1:12" x14ac:dyDescent="0.3">
      <c r="A79" s="1">
        <v>2015</v>
      </c>
      <c r="B79" s="20">
        <f t="shared" si="4"/>
        <v>42247</v>
      </c>
      <c r="C79" s="1">
        <v>19</v>
      </c>
      <c r="D79" s="1" t="s">
        <v>24</v>
      </c>
      <c r="E79" s="2">
        <v>2.58</v>
      </c>
      <c r="F79" s="1" t="s">
        <v>32</v>
      </c>
      <c r="H79" s="21" t="str">
        <f t="shared" si="5"/>
        <v/>
      </c>
      <c r="I79" s="21"/>
      <c r="J79" s="3">
        <v>2.58</v>
      </c>
      <c r="K79" s="1">
        <v>198.46</v>
      </c>
      <c r="L79" s="4">
        <f t="shared" si="3"/>
        <v>512.02679999999998</v>
      </c>
    </row>
    <row r="80" spans="1:12" x14ac:dyDescent="0.3">
      <c r="A80" s="1">
        <v>2015</v>
      </c>
      <c r="B80" s="20">
        <f t="shared" si="4"/>
        <v>42247</v>
      </c>
      <c r="C80" s="1">
        <v>20</v>
      </c>
      <c r="D80" s="1" t="s">
        <v>2</v>
      </c>
      <c r="E80" s="2">
        <v>4.95</v>
      </c>
      <c r="F80" s="1" t="s">
        <v>28</v>
      </c>
      <c r="G80" s="20">
        <v>41334</v>
      </c>
      <c r="H80" s="21">
        <f t="shared" si="5"/>
        <v>29</v>
      </c>
      <c r="I80" s="24">
        <f>H80/12</f>
        <v>2.4166666666666665</v>
      </c>
      <c r="J80" s="3">
        <v>4.95</v>
      </c>
      <c r="K80" s="1">
        <v>139.68</v>
      </c>
      <c r="L80" s="4">
        <f t="shared" si="3"/>
        <v>691.41600000000005</v>
      </c>
    </row>
    <row r="81" spans="1:12" x14ac:dyDescent="0.3">
      <c r="A81" s="1">
        <v>2015</v>
      </c>
      <c r="B81" s="20">
        <f t="shared" si="4"/>
        <v>42247</v>
      </c>
      <c r="C81" s="1">
        <v>21</v>
      </c>
      <c r="D81" s="1" t="s">
        <v>24</v>
      </c>
      <c r="E81" s="2">
        <v>21.38</v>
      </c>
      <c r="F81" s="1" t="s">
        <v>32</v>
      </c>
      <c r="H81" s="21" t="str">
        <f t="shared" si="5"/>
        <v/>
      </c>
      <c r="I81" s="21"/>
      <c r="J81" s="3">
        <v>21.38</v>
      </c>
      <c r="K81" s="1">
        <v>36.29</v>
      </c>
      <c r="L81" s="4">
        <f t="shared" si="3"/>
        <v>775.88019999999995</v>
      </c>
    </row>
    <row r="82" spans="1:12" x14ac:dyDescent="0.3">
      <c r="A82" s="1">
        <v>2015</v>
      </c>
      <c r="B82" s="20">
        <f t="shared" si="4"/>
        <v>42247</v>
      </c>
      <c r="C82" s="1">
        <v>22</v>
      </c>
      <c r="D82" s="1" t="s">
        <v>24</v>
      </c>
      <c r="E82" s="2">
        <v>4.16</v>
      </c>
      <c r="F82" s="1" t="s">
        <v>32</v>
      </c>
      <c r="H82" s="21" t="str">
        <f t="shared" si="5"/>
        <v/>
      </c>
      <c r="I82" s="21"/>
      <c r="J82" s="3">
        <v>4.16</v>
      </c>
      <c r="K82" s="1">
        <v>164.55</v>
      </c>
      <c r="L82" s="4">
        <f t="shared" si="3"/>
        <v>684.52800000000002</v>
      </c>
    </row>
    <row r="83" spans="1:12" x14ac:dyDescent="0.3">
      <c r="A83" s="1">
        <v>2015</v>
      </c>
      <c r="B83" s="20">
        <f t="shared" si="4"/>
        <v>42247</v>
      </c>
      <c r="C83" s="1">
        <v>23</v>
      </c>
      <c r="D83" s="1" t="s">
        <v>24</v>
      </c>
      <c r="E83" s="2">
        <v>6.04</v>
      </c>
      <c r="F83" s="1" t="s">
        <v>32</v>
      </c>
      <c r="H83" s="21" t="str">
        <f t="shared" si="5"/>
        <v/>
      </c>
      <c r="I83" s="21"/>
      <c r="J83" s="3">
        <v>6.04</v>
      </c>
      <c r="K83" s="1">
        <v>124.71</v>
      </c>
      <c r="L83" s="4">
        <f t="shared" si="3"/>
        <v>753.24839999999995</v>
      </c>
    </row>
    <row r="84" spans="1:12" x14ac:dyDescent="0.3">
      <c r="A84" s="1">
        <v>2015</v>
      </c>
      <c r="B84" s="20">
        <f t="shared" si="4"/>
        <v>42247</v>
      </c>
      <c r="C84" s="1">
        <v>24</v>
      </c>
      <c r="D84" s="1" t="s">
        <v>12</v>
      </c>
      <c r="E84" s="2">
        <v>6.68</v>
      </c>
      <c r="F84" s="1" t="s">
        <v>19</v>
      </c>
      <c r="H84" s="21" t="str">
        <f t="shared" si="5"/>
        <v/>
      </c>
      <c r="I84" s="21"/>
      <c r="J84" s="3">
        <v>6.68</v>
      </c>
      <c r="K84" s="1">
        <v>208.5</v>
      </c>
      <c r="L84" s="4">
        <f t="shared" si="3"/>
        <v>1392.78</v>
      </c>
    </row>
    <row r="85" spans="1:12" x14ac:dyDescent="0.3">
      <c r="A85" s="1">
        <v>2015</v>
      </c>
      <c r="B85" s="20">
        <f t="shared" si="4"/>
        <v>42247</v>
      </c>
      <c r="C85" s="1">
        <v>25</v>
      </c>
      <c r="D85" s="1" t="s">
        <v>12</v>
      </c>
      <c r="E85" s="2">
        <v>4.9000000000000004</v>
      </c>
      <c r="F85" s="1" t="s">
        <v>19</v>
      </c>
      <c r="H85" s="21" t="str">
        <f t="shared" si="5"/>
        <v/>
      </c>
      <c r="I85" s="21"/>
      <c r="J85" s="3">
        <v>4.9000000000000004</v>
      </c>
      <c r="K85" s="1">
        <v>195.04</v>
      </c>
      <c r="L85" s="4">
        <f t="shared" si="3"/>
        <v>955.69600000000003</v>
      </c>
    </row>
    <row r="86" spans="1:12" x14ac:dyDescent="0.3">
      <c r="A86" s="1">
        <v>2015</v>
      </c>
      <c r="B86" s="20">
        <f t="shared" si="4"/>
        <v>42247</v>
      </c>
      <c r="C86" s="1">
        <v>26</v>
      </c>
      <c r="D86" s="1" t="s">
        <v>12</v>
      </c>
      <c r="E86" s="2">
        <v>4.1100000000000003</v>
      </c>
      <c r="F86" s="1" t="s">
        <v>19</v>
      </c>
      <c r="H86" s="21" t="str">
        <f t="shared" si="5"/>
        <v/>
      </c>
      <c r="I86" s="21"/>
      <c r="J86" s="3">
        <v>4.1100000000000003</v>
      </c>
      <c r="K86" s="1">
        <v>254.34</v>
      </c>
      <c r="L86" s="4">
        <f t="shared" si="3"/>
        <v>1045.3374000000001</v>
      </c>
    </row>
    <row r="87" spans="1:12" x14ac:dyDescent="0.3">
      <c r="A87" s="1">
        <v>2015</v>
      </c>
      <c r="B87" s="20">
        <f t="shared" si="4"/>
        <v>42247</v>
      </c>
      <c r="C87" s="1">
        <v>27</v>
      </c>
      <c r="D87" s="1" t="s">
        <v>12</v>
      </c>
      <c r="E87" s="2">
        <v>2.5</v>
      </c>
      <c r="F87" s="1" t="s">
        <v>19</v>
      </c>
      <c r="H87" s="21" t="str">
        <f t="shared" si="5"/>
        <v/>
      </c>
      <c r="I87" s="21"/>
      <c r="J87" s="3">
        <v>2.5</v>
      </c>
      <c r="K87" s="1">
        <v>285.43</v>
      </c>
      <c r="L87" s="4">
        <f t="shared" si="3"/>
        <v>713.57500000000005</v>
      </c>
    </row>
    <row r="88" spans="1:12" x14ac:dyDescent="0.3">
      <c r="A88" s="1">
        <v>2015</v>
      </c>
      <c r="B88" s="20">
        <f t="shared" si="4"/>
        <v>42247</v>
      </c>
      <c r="C88" s="1">
        <v>28</v>
      </c>
      <c r="D88" s="1" t="s">
        <v>12</v>
      </c>
      <c r="E88" s="2">
        <v>4.66</v>
      </c>
      <c r="F88" s="1" t="s">
        <v>19</v>
      </c>
      <c r="H88" s="21" t="str">
        <f t="shared" si="5"/>
        <v/>
      </c>
      <c r="I88" s="21"/>
      <c r="J88" s="3">
        <v>4.66</v>
      </c>
      <c r="K88" s="1">
        <v>38.08</v>
      </c>
      <c r="L88" s="4">
        <f t="shared" si="3"/>
        <v>177.4528</v>
      </c>
    </row>
    <row r="89" spans="1:12" x14ac:dyDescent="0.3">
      <c r="A89" s="1">
        <v>2015</v>
      </c>
      <c r="B89" s="20">
        <f t="shared" si="4"/>
        <v>42247</v>
      </c>
      <c r="C89" s="1">
        <v>29</v>
      </c>
      <c r="D89" s="1" t="s">
        <v>26</v>
      </c>
      <c r="E89" s="2">
        <v>2.1800000000000002</v>
      </c>
      <c r="F89" s="1" t="s">
        <v>28</v>
      </c>
      <c r="H89" s="21" t="str">
        <f t="shared" si="5"/>
        <v/>
      </c>
      <c r="I89" s="21"/>
      <c r="J89" s="3">
        <v>2.1800000000000002</v>
      </c>
      <c r="K89" s="1">
        <v>311.06</v>
      </c>
      <c r="L89" s="4">
        <f t="shared" si="3"/>
        <v>678.11080000000004</v>
      </c>
    </row>
    <row r="90" spans="1:12" x14ac:dyDescent="0.3">
      <c r="A90" s="1">
        <v>2015</v>
      </c>
      <c r="B90" s="20">
        <f t="shared" si="4"/>
        <v>42247</v>
      </c>
      <c r="C90" s="1">
        <v>30</v>
      </c>
      <c r="D90" s="1" t="s">
        <v>26</v>
      </c>
      <c r="E90" s="2">
        <v>4.2300000000000004</v>
      </c>
      <c r="F90" s="1" t="s">
        <v>28</v>
      </c>
      <c r="H90" s="21" t="str">
        <f t="shared" si="5"/>
        <v/>
      </c>
      <c r="I90" s="21"/>
      <c r="J90" s="3">
        <v>4.2300000000000004</v>
      </c>
      <c r="K90" s="1">
        <v>119.59</v>
      </c>
      <c r="L90" s="4">
        <f t="shared" si="3"/>
        <v>505.86570000000006</v>
      </c>
    </row>
    <row r="91" spans="1:12" x14ac:dyDescent="0.3">
      <c r="A91" s="1">
        <v>2015</v>
      </c>
      <c r="B91" s="20">
        <f t="shared" si="4"/>
        <v>42247</v>
      </c>
      <c r="C91" s="1">
        <v>31</v>
      </c>
      <c r="D91" s="1" t="s">
        <v>12</v>
      </c>
      <c r="E91" s="2">
        <v>8.4700000000000006</v>
      </c>
      <c r="F91" s="1" t="s">
        <v>19</v>
      </c>
      <c r="H91" s="21" t="str">
        <f t="shared" si="5"/>
        <v/>
      </c>
      <c r="I91" s="21"/>
      <c r="J91" s="3">
        <v>8.4700000000000006</v>
      </c>
      <c r="K91" s="1">
        <v>150.15</v>
      </c>
      <c r="L91" s="4">
        <f t="shared" si="3"/>
        <v>1271.7705000000001</v>
      </c>
    </row>
    <row r="92" spans="1:12" x14ac:dyDescent="0.3">
      <c r="A92" s="1">
        <v>2015</v>
      </c>
      <c r="B92" s="20">
        <f t="shared" si="4"/>
        <v>42247</v>
      </c>
      <c r="C92" s="1">
        <v>32</v>
      </c>
      <c r="D92" s="1" t="s">
        <v>26</v>
      </c>
      <c r="E92" s="2">
        <v>3.21</v>
      </c>
      <c r="F92" s="1" t="s">
        <v>28</v>
      </c>
      <c r="H92" s="21" t="str">
        <f t="shared" si="5"/>
        <v/>
      </c>
      <c r="I92" s="21"/>
      <c r="J92" s="3">
        <v>3.21</v>
      </c>
      <c r="K92" s="1">
        <v>65.69</v>
      </c>
      <c r="L92" s="4">
        <f t="shared" si="3"/>
        <v>210.86489999999998</v>
      </c>
    </row>
    <row r="93" spans="1:12" x14ac:dyDescent="0.3">
      <c r="A93" s="1">
        <v>2015</v>
      </c>
      <c r="B93" s="20">
        <f t="shared" si="4"/>
        <v>42247</v>
      </c>
      <c r="C93" s="1">
        <v>33</v>
      </c>
      <c r="D93" s="1" t="s">
        <v>26</v>
      </c>
      <c r="E93" s="2">
        <v>4</v>
      </c>
      <c r="F93" s="1" t="s">
        <v>28</v>
      </c>
      <c r="H93" s="21" t="str">
        <f t="shared" si="5"/>
        <v/>
      </c>
      <c r="I93" s="21"/>
      <c r="J93" s="3">
        <v>4</v>
      </c>
      <c r="K93" s="1">
        <v>104.33</v>
      </c>
      <c r="L93" s="4">
        <f t="shared" si="3"/>
        <v>417.32</v>
      </c>
    </row>
    <row r="94" spans="1:12" x14ac:dyDescent="0.3">
      <c r="A94" s="1">
        <v>2015</v>
      </c>
      <c r="B94" s="20">
        <f t="shared" si="4"/>
        <v>42247</v>
      </c>
      <c r="C94" s="1">
        <v>33</v>
      </c>
      <c r="D94" s="1" t="s">
        <v>26</v>
      </c>
      <c r="E94" s="2">
        <v>1.21</v>
      </c>
      <c r="F94" s="1" t="s">
        <v>28</v>
      </c>
      <c r="H94" s="21" t="str">
        <f t="shared" si="5"/>
        <v/>
      </c>
      <c r="I94" s="21"/>
      <c r="J94" s="3">
        <v>1.21</v>
      </c>
      <c r="K94" s="1">
        <v>481.9</v>
      </c>
      <c r="L94" s="4">
        <f t="shared" si="3"/>
        <v>583.09899999999993</v>
      </c>
    </row>
    <row r="95" spans="1:12" x14ac:dyDescent="0.3">
      <c r="A95" s="1">
        <v>2015</v>
      </c>
      <c r="B95" s="20">
        <f t="shared" si="4"/>
        <v>42247</v>
      </c>
      <c r="C95" s="1">
        <v>34</v>
      </c>
      <c r="D95" s="1" t="s">
        <v>12</v>
      </c>
      <c r="E95" s="2">
        <v>5.22</v>
      </c>
      <c r="F95" s="1" t="s">
        <v>19</v>
      </c>
      <c r="H95" s="21" t="str">
        <f t="shared" si="5"/>
        <v/>
      </c>
      <c r="I95" s="21"/>
      <c r="J95" s="3">
        <v>5.22</v>
      </c>
      <c r="K95" s="1">
        <v>91.21</v>
      </c>
      <c r="L95" s="4">
        <f t="shared" si="3"/>
        <v>476.11619999999994</v>
      </c>
    </row>
    <row r="96" spans="1:12" x14ac:dyDescent="0.3">
      <c r="A96" s="1">
        <v>2015</v>
      </c>
      <c r="B96" s="20">
        <f t="shared" si="4"/>
        <v>42247</v>
      </c>
      <c r="C96" s="1">
        <v>35</v>
      </c>
      <c r="D96" s="1" t="s">
        <v>12</v>
      </c>
      <c r="E96" s="2">
        <v>2.91</v>
      </c>
      <c r="F96" s="1" t="s">
        <v>19</v>
      </c>
      <c r="H96" s="21" t="str">
        <f t="shared" si="5"/>
        <v/>
      </c>
      <c r="I96" s="21"/>
      <c r="J96" s="3">
        <v>2.91</v>
      </c>
      <c r="K96" s="1">
        <v>115.8</v>
      </c>
      <c r="L96" s="4">
        <f t="shared" si="3"/>
        <v>336.97800000000001</v>
      </c>
    </row>
    <row r="97" spans="1:12" x14ac:dyDescent="0.3">
      <c r="A97" s="1">
        <v>2015</v>
      </c>
      <c r="B97" s="20">
        <f t="shared" si="4"/>
        <v>42247</v>
      </c>
      <c r="C97" s="1">
        <v>36</v>
      </c>
      <c r="D97" s="1" t="s">
        <v>12</v>
      </c>
      <c r="E97" s="2">
        <v>5.81</v>
      </c>
      <c r="F97" s="1" t="s">
        <v>19</v>
      </c>
      <c r="H97" s="21" t="str">
        <f t="shared" si="5"/>
        <v/>
      </c>
      <c r="I97" s="21"/>
      <c r="J97" s="3">
        <v>5.81</v>
      </c>
      <c r="K97" s="1">
        <v>49.26</v>
      </c>
      <c r="L97" s="4">
        <f t="shared" si="3"/>
        <v>286.20059999999995</v>
      </c>
    </row>
    <row r="98" spans="1:12" x14ac:dyDescent="0.3">
      <c r="A98" s="1">
        <v>2015</v>
      </c>
      <c r="B98" s="20">
        <f t="shared" si="4"/>
        <v>42247</v>
      </c>
      <c r="C98" s="1">
        <v>37</v>
      </c>
      <c r="D98" s="1" t="s">
        <v>12</v>
      </c>
      <c r="E98" s="2">
        <v>4.58</v>
      </c>
      <c r="F98" s="1" t="s">
        <v>19</v>
      </c>
      <c r="H98" s="21" t="str">
        <f t="shared" si="5"/>
        <v/>
      </c>
      <c r="I98" s="21"/>
      <c r="J98" s="3">
        <v>4.58</v>
      </c>
      <c r="K98" s="1">
        <v>64</v>
      </c>
      <c r="L98" s="4">
        <f t="shared" si="3"/>
        <v>293.12</v>
      </c>
    </row>
    <row r="99" spans="1:12" x14ac:dyDescent="0.3">
      <c r="A99" s="1">
        <v>2015</v>
      </c>
      <c r="B99" s="20">
        <f t="shared" si="4"/>
        <v>42247</v>
      </c>
      <c r="C99" s="1">
        <v>38</v>
      </c>
      <c r="D99" s="1" t="s">
        <v>12</v>
      </c>
      <c r="E99" s="2">
        <v>2.09</v>
      </c>
      <c r="F99" s="1" t="s">
        <v>19</v>
      </c>
      <c r="H99" s="21" t="str">
        <f t="shared" si="5"/>
        <v/>
      </c>
      <c r="I99" s="21"/>
      <c r="J99" s="3">
        <v>2.09</v>
      </c>
      <c r="K99" s="1">
        <v>28.31</v>
      </c>
      <c r="L99" s="4">
        <f t="shared" si="3"/>
        <v>59.167899999999996</v>
      </c>
    </row>
    <row r="100" spans="1:12" x14ac:dyDescent="0.3">
      <c r="A100" s="1">
        <v>2015</v>
      </c>
      <c r="B100" s="20">
        <f t="shared" si="4"/>
        <v>42247</v>
      </c>
      <c r="C100" s="1">
        <v>39</v>
      </c>
      <c r="D100" s="1" t="s">
        <v>12</v>
      </c>
      <c r="E100" s="2">
        <v>4.88</v>
      </c>
      <c r="F100" s="1" t="s">
        <v>19</v>
      </c>
      <c r="H100" s="21" t="str">
        <f t="shared" si="5"/>
        <v/>
      </c>
      <c r="I100" s="21"/>
      <c r="J100" s="3">
        <v>4.88</v>
      </c>
      <c r="K100" s="1">
        <v>37.76</v>
      </c>
      <c r="L100" s="4">
        <f t="shared" si="3"/>
        <v>184.2688</v>
      </c>
    </row>
    <row r="101" spans="1:12" x14ac:dyDescent="0.3">
      <c r="A101" s="1">
        <v>2015</v>
      </c>
      <c r="B101" s="20">
        <f t="shared" si="4"/>
        <v>42247</v>
      </c>
      <c r="C101" s="1">
        <v>40</v>
      </c>
      <c r="D101" s="1" t="s">
        <v>26</v>
      </c>
      <c r="E101" s="2">
        <v>4.01</v>
      </c>
      <c r="F101" s="1" t="s">
        <v>19</v>
      </c>
      <c r="H101" s="21" t="str">
        <f t="shared" si="5"/>
        <v/>
      </c>
      <c r="I101" s="21"/>
      <c r="J101" s="3">
        <v>4.01</v>
      </c>
      <c r="K101" s="1">
        <v>42.17</v>
      </c>
      <c r="L101" s="4">
        <f t="shared" si="3"/>
        <v>169.10169999999999</v>
      </c>
    </row>
    <row r="102" spans="1:12" x14ac:dyDescent="0.3">
      <c r="A102" s="1">
        <v>2015</v>
      </c>
      <c r="B102" s="20">
        <f t="shared" si="4"/>
        <v>42247</v>
      </c>
      <c r="C102" s="1">
        <v>41</v>
      </c>
      <c r="D102" s="1" t="s">
        <v>26</v>
      </c>
      <c r="E102" s="2">
        <v>3.73</v>
      </c>
      <c r="F102" s="1" t="s">
        <v>19</v>
      </c>
      <c r="H102" s="21" t="str">
        <f t="shared" si="5"/>
        <v/>
      </c>
      <c r="I102" s="21"/>
      <c r="J102" s="3">
        <v>3.73</v>
      </c>
      <c r="K102" s="1">
        <v>102.74</v>
      </c>
      <c r="L102" s="4">
        <f t="shared" si="3"/>
        <v>383.22019999999998</v>
      </c>
    </row>
    <row r="103" spans="1:12" x14ac:dyDescent="0.3">
      <c r="A103" s="1">
        <v>2015</v>
      </c>
      <c r="B103" s="20">
        <f t="shared" si="4"/>
        <v>42247</v>
      </c>
      <c r="C103" s="1">
        <v>42</v>
      </c>
      <c r="D103" s="1" t="s">
        <v>26</v>
      </c>
      <c r="E103" s="2">
        <v>6.06</v>
      </c>
      <c r="F103" s="1" t="s">
        <v>19</v>
      </c>
      <c r="H103" s="21" t="str">
        <f t="shared" si="5"/>
        <v/>
      </c>
      <c r="I103" s="21"/>
      <c r="J103" s="3">
        <v>6.06</v>
      </c>
      <c r="K103" s="1">
        <v>56.12</v>
      </c>
      <c r="L103" s="4">
        <f t="shared" si="3"/>
        <v>340.08719999999994</v>
      </c>
    </row>
    <row r="104" spans="1:12" x14ac:dyDescent="0.3">
      <c r="A104" s="1">
        <v>2015</v>
      </c>
      <c r="B104" s="20">
        <f t="shared" si="4"/>
        <v>42247</v>
      </c>
      <c r="C104" s="1">
        <v>43</v>
      </c>
      <c r="D104" s="1" t="s">
        <v>26</v>
      </c>
      <c r="E104" s="2">
        <v>4.58</v>
      </c>
      <c r="F104" s="1" t="s">
        <v>19</v>
      </c>
      <c r="H104" s="21" t="str">
        <f t="shared" si="5"/>
        <v/>
      </c>
      <c r="I104" s="21"/>
      <c r="J104" s="3">
        <v>4.58</v>
      </c>
      <c r="K104" s="1">
        <v>82.87</v>
      </c>
      <c r="L104" s="4">
        <f t="shared" si="3"/>
        <v>379.5446</v>
      </c>
    </row>
    <row r="105" spans="1:12" x14ac:dyDescent="0.3">
      <c r="A105" s="1">
        <v>2015</v>
      </c>
      <c r="B105" s="20">
        <f t="shared" si="4"/>
        <v>42247</v>
      </c>
      <c r="C105" s="1">
        <v>44</v>
      </c>
      <c r="D105" s="1" t="s">
        <v>26</v>
      </c>
      <c r="E105" s="2">
        <v>2.98</v>
      </c>
      <c r="F105" s="1" t="s">
        <v>19</v>
      </c>
      <c r="H105" s="21" t="str">
        <f t="shared" si="5"/>
        <v/>
      </c>
      <c r="I105" s="21"/>
      <c r="J105" s="3">
        <v>2.98</v>
      </c>
      <c r="K105" s="1">
        <v>97.63</v>
      </c>
      <c r="L105" s="4">
        <f t="shared" si="3"/>
        <v>290.93739999999997</v>
      </c>
    </row>
    <row r="106" spans="1:12" x14ac:dyDescent="0.3">
      <c r="A106" s="1">
        <v>2015</v>
      </c>
      <c r="B106" s="20">
        <f t="shared" si="4"/>
        <v>42247</v>
      </c>
      <c r="C106" s="1">
        <v>45</v>
      </c>
      <c r="D106" s="1" t="s">
        <v>2</v>
      </c>
      <c r="E106" s="2">
        <v>9</v>
      </c>
      <c r="F106" s="1">
        <v>1</v>
      </c>
      <c r="H106" s="21" t="str">
        <f t="shared" si="5"/>
        <v/>
      </c>
      <c r="I106" s="21"/>
      <c r="J106" s="3">
        <v>9</v>
      </c>
      <c r="K106" s="1">
        <v>106.1</v>
      </c>
      <c r="L106" s="4">
        <f t="shared" si="3"/>
        <v>954.9</v>
      </c>
    </row>
    <row r="107" spans="1:12" x14ac:dyDescent="0.3">
      <c r="A107" s="1">
        <v>2015</v>
      </c>
      <c r="B107" s="20">
        <f t="shared" si="4"/>
        <v>42247</v>
      </c>
      <c r="C107" s="1">
        <v>45</v>
      </c>
      <c r="D107" s="1" t="s">
        <v>2</v>
      </c>
      <c r="E107" s="2">
        <v>1.66</v>
      </c>
      <c r="F107" s="1">
        <v>1</v>
      </c>
      <c r="H107" s="21" t="str">
        <f t="shared" si="5"/>
        <v/>
      </c>
      <c r="I107" s="21"/>
      <c r="J107" s="3">
        <v>1.66</v>
      </c>
      <c r="K107" s="1">
        <v>742.07</v>
      </c>
      <c r="L107" s="4">
        <f t="shared" si="3"/>
        <v>1231.8362</v>
      </c>
    </row>
    <row r="108" spans="1:12" x14ac:dyDescent="0.3">
      <c r="A108" s="1">
        <v>2015</v>
      </c>
      <c r="B108" s="20">
        <f t="shared" si="4"/>
        <v>42247</v>
      </c>
      <c r="C108" s="1">
        <v>46</v>
      </c>
      <c r="D108" s="1" t="s">
        <v>2</v>
      </c>
      <c r="E108" s="2">
        <v>5.86</v>
      </c>
      <c r="F108" s="1">
        <v>1</v>
      </c>
      <c r="H108" s="21" t="str">
        <f t="shared" si="5"/>
        <v/>
      </c>
      <c r="I108" s="21"/>
      <c r="J108" s="3">
        <v>5.86</v>
      </c>
      <c r="K108" s="1">
        <v>163.98</v>
      </c>
      <c r="L108" s="4">
        <f t="shared" si="3"/>
        <v>960.92279999999994</v>
      </c>
    </row>
    <row r="109" spans="1:12" x14ac:dyDescent="0.3">
      <c r="A109" s="1">
        <v>2015</v>
      </c>
      <c r="B109" s="20">
        <f t="shared" si="4"/>
        <v>42247</v>
      </c>
      <c r="C109" s="1">
        <v>47</v>
      </c>
      <c r="D109" s="1" t="s">
        <v>2</v>
      </c>
      <c r="E109" s="2">
        <v>7.69</v>
      </c>
      <c r="F109" s="1">
        <v>1</v>
      </c>
      <c r="H109" s="21" t="str">
        <f t="shared" si="5"/>
        <v/>
      </c>
      <c r="I109" s="21"/>
      <c r="J109" s="3">
        <v>7.69</v>
      </c>
      <c r="K109" s="1">
        <v>61.99</v>
      </c>
      <c r="L109" s="4">
        <f t="shared" si="3"/>
        <v>476.70310000000006</v>
      </c>
    </row>
    <row r="110" spans="1:12" x14ac:dyDescent="0.3">
      <c r="A110" s="1">
        <v>2015</v>
      </c>
      <c r="B110" s="20">
        <f t="shared" si="4"/>
        <v>42247</v>
      </c>
      <c r="C110" s="1">
        <v>48</v>
      </c>
      <c r="D110" s="1" t="s">
        <v>2</v>
      </c>
      <c r="E110" s="2">
        <v>4.1900000000000004</v>
      </c>
      <c r="F110" s="1">
        <v>1</v>
      </c>
      <c r="H110" s="21" t="str">
        <f t="shared" si="5"/>
        <v/>
      </c>
      <c r="I110" s="21"/>
      <c r="J110" s="3">
        <v>4.1900000000000004</v>
      </c>
      <c r="K110" s="1">
        <v>32.26</v>
      </c>
      <c r="L110" s="4">
        <f t="shared" si="3"/>
        <v>135.1694</v>
      </c>
    </row>
    <row r="111" spans="1:12" x14ac:dyDescent="0.3">
      <c r="A111" s="1">
        <v>2015</v>
      </c>
      <c r="B111" s="20">
        <f t="shared" si="4"/>
        <v>42247</v>
      </c>
      <c r="C111" s="1">
        <v>52</v>
      </c>
      <c r="D111" s="1" t="s">
        <v>26</v>
      </c>
      <c r="E111" s="2">
        <v>8.07</v>
      </c>
      <c r="F111" s="1" t="s">
        <v>28</v>
      </c>
      <c r="H111" s="21" t="str">
        <f t="shared" si="5"/>
        <v/>
      </c>
      <c r="I111" s="21"/>
      <c r="J111" s="3">
        <v>8.07</v>
      </c>
      <c r="K111" s="1">
        <v>174.69</v>
      </c>
      <c r="L111" s="4">
        <f t="shared" si="3"/>
        <v>1409.7483</v>
      </c>
    </row>
    <row r="112" spans="1:12" x14ac:dyDescent="0.3">
      <c r="A112" s="1">
        <v>2015</v>
      </c>
      <c r="B112" s="20">
        <f t="shared" si="4"/>
        <v>42247</v>
      </c>
      <c r="C112" s="1">
        <v>53</v>
      </c>
      <c r="D112" s="1" t="s">
        <v>2</v>
      </c>
      <c r="E112" s="2">
        <v>13.43</v>
      </c>
      <c r="F112" s="1" t="s">
        <v>28</v>
      </c>
      <c r="H112" s="21" t="str">
        <f t="shared" si="5"/>
        <v/>
      </c>
      <c r="I112" s="21"/>
      <c r="J112" s="3">
        <v>13.43</v>
      </c>
      <c r="K112" s="1">
        <v>179.85</v>
      </c>
      <c r="L112" s="4">
        <f t="shared" si="3"/>
        <v>2415.3854999999999</v>
      </c>
    </row>
    <row r="113" spans="1:12" x14ac:dyDescent="0.3">
      <c r="A113" s="1">
        <v>2015</v>
      </c>
      <c r="B113" s="20">
        <f t="shared" si="4"/>
        <v>42247</v>
      </c>
      <c r="C113" s="1">
        <v>54</v>
      </c>
      <c r="D113" s="1" t="s">
        <v>26</v>
      </c>
      <c r="E113" s="2">
        <v>10.199999999999999</v>
      </c>
      <c r="F113" s="1" t="s">
        <v>28</v>
      </c>
      <c r="H113" s="21" t="str">
        <f t="shared" si="5"/>
        <v/>
      </c>
      <c r="I113" s="21"/>
      <c r="J113" s="3">
        <v>10.199999999999999</v>
      </c>
      <c r="K113" s="1">
        <v>159.91999999999999</v>
      </c>
      <c r="L113" s="4">
        <f t="shared" si="3"/>
        <v>1631.1839999999997</v>
      </c>
    </row>
    <row r="114" spans="1:12" x14ac:dyDescent="0.3">
      <c r="A114" s="1">
        <v>2015</v>
      </c>
      <c r="B114" s="20">
        <f t="shared" si="4"/>
        <v>42247</v>
      </c>
      <c r="C114" s="1">
        <v>55</v>
      </c>
      <c r="D114" s="1" t="s">
        <v>26</v>
      </c>
      <c r="E114" s="2">
        <v>4.22</v>
      </c>
      <c r="F114" s="1" t="s">
        <v>28</v>
      </c>
      <c r="H114" s="21" t="str">
        <f t="shared" si="5"/>
        <v/>
      </c>
      <c r="I114" s="21"/>
      <c r="J114" s="3">
        <v>4.22</v>
      </c>
      <c r="K114" s="1">
        <v>171.47</v>
      </c>
      <c r="L114" s="4">
        <f t="shared" si="3"/>
        <v>723.60339999999997</v>
      </c>
    </row>
    <row r="115" spans="1:12" x14ac:dyDescent="0.3">
      <c r="A115" s="1">
        <v>2015</v>
      </c>
      <c r="B115" s="20">
        <f t="shared" si="4"/>
        <v>42247</v>
      </c>
      <c r="C115" s="1">
        <v>56</v>
      </c>
      <c r="D115" s="1" t="s">
        <v>26</v>
      </c>
      <c r="E115" s="2">
        <v>10.37</v>
      </c>
      <c r="F115" s="1" t="s">
        <v>28</v>
      </c>
      <c r="H115" s="21" t="str">
        <f t="shared" si="5"/>
        <v/>
      </c>
      <c r="I115" s="21"/>
      <c r="J115" s="3">
        <v>10.37</v>
      </c>
      <c r="K115" s="1">
        <v>178.13</v>
      </c>
      <c r="L115" s="4">
        <f t="shared" si="3"/>
        <v>1847.2080999999998</v>
      </c>
    </row>
    <row r="116" spans="1:12" x14ac:dyDescent="0.3">
      <c r="A116" s="1">
        <v>2015</v>
      </c>
      <c r="B116" s="20">
        <f t="shared" si="4"/>
        <v>42247</v>
      </c>
      <c r="C116" s="1">
        <v>57</v>
      </c>
      <c r="D116" s="1" t="s">
        <v>26</v>
      </c>
      <c r="E116" s="2">
        <v>11.04</v>
      </c>
      <c r="F116" s="1" t="s">
        <v>28</v>
      </c>
      <c r="H116" s="21" t="str">
        <f t="shared" si="5"/>
        <v/>
      </c>
      <c r="I116" s="21"/>
      <c r="J116" s="3">
        <v>11.04</v>
      </c>
      <c r="K116" s="1">
        <v>70.069999999999993</v>
      </c>
      <c r="L116" s="4">
        <f t="shared" si="3"/>
        <v>773.57279999999992</v>
      </c>
    </row>
    <row r="117" spans="1:12" x14ac:dyDescent="0.3">
      <c r="A117" s="1">
        <v>2015</v>
      </c>
      <c r="B117" s="20">
        <f t="shared" si="4"/>
        <v>42247</v>
      </c>
      <c r="C117" s="1">
        <v>58</v>
      </c>
      <c r="D117" s="1" t="s">
        <v>26</v>
      </c>
      <c r="E117" s="2">
        <v>2.33</v>
      </c>
      <c r="F117" s="1" t="s">
        <v>32</v>
      </c>
      <c r="H117" s="21" t="str">
        <f t="shared" si="5"/>
        <v/>
      </c>
      <c r="I117" s="21"/>
      <c r="J117" s="3">
        <v>2.33</v>
      </c>
      <c r="K117" s="1">
        <v>61.59</v>
      </c>
      <c r="L117" s="4">
        <f t="shared" si="3"/>
        <v>143.50470000000001</v>
      </c>
    </row>
    <row r="118" spans="1:12" x14ac:dyDescent="0.3">
      <c r="A118" s="1">
        <v>2015</v>
      </c>
      <c r="B118" s="20">
        <f t="shared" si="4"/>
        <v>42247</v>
      </c>
      <c r="C118" s="1">
        <v>59</v>
      </c>
      <c r="D118" s="1" t="s">
        <v>26</v>
      </c>
      <c r="E118" s="2">
        <v>6.59</v>
      </c>
      <c r="F118" s="1" t="s">
        <v>28</v>
      </c>
      <c r="H118" s="21" t="str">
        <f t="shared" si="5"/>
        <v/>
      </c>
      <c r="I118" s="21"/>
      <c r="J118" s="3">
        <v>6.59</v>
      </c>
      <c r="K118" s="1">
        <v>135.22</v>
      </c>
      <c r="L118" s="4">
        <f t="shared" si="3"/>
        <v>891.09979999999996</v>
      </c>
    </row>
    <row r="119" spans="1:12" x14ac:dyDescent="0.3">
      <c r="A119" s="1">
        <v>2015</v>
      </c>
      <c r="B119" s="20">
        <f t="shared" si="4"/>
        <v>42247</v>
      </c>
      <c r="C119" s="1">
        <v>60</v>
      </c>
      <c r="D119" s="1" t="s">
        <v>26</v>
      </c>
      <c r="E119" s="2">
        <v>6.79</v>
      </c>
      <c r="F119" s="1" t="s">
        <v>28</v>
      </c>
      <c r="H119" s="21" t="str">
        <f t="shared" si="5"/>
        <v/>
      </c>
      <c r="I119" s="21"/>
      <c r="J119" s="3">
        <v>6.79</v>
      </c>
      <c r="K119" s="1">
        <v>217.09</v>
      </c>
      <c r="L119" s="4">
        <f t="shared" si="3"/>
        <v>1474.0411000000001</v>
      </c>
    </row>
    <row r="120" spans="1:12" x14ac:dyDescent="0.3">
      <c r="A120" s="1">
        <v>2015</v>
      </c>
      <c r="B120" s="20">
        <f t="shared" si="4"/>
        <v>42247</v>
      </c>
      <c r="C120" s="1">
        <v>61</v>
      </c>
      <c r="D120" s="1" t="s">
        <v>2</v>
      </c>
      <c r="E120" s="2">
        <v>0.9</v>
      </c>
      <c r="F120" s="1" t="s">
        <v>28</v>
      </c>
      <c r="H120" s="21" t="str">
        <f t="shared" si="5"/>
        <v/>
      </c>
      <c r="I120" s="21"/>
      <c r="J120" s="3">
        <v>0.9</v>
      </c>
      <c r="K120" s="1">
        <v>87.51</v>
      </c>
      <c r="L120" s="4">
        <f t="shared" si="3"/>
        <v>78.759</v>
      </c>
    </row>
    <row r="121" spans="1:12" x14ac:dyDescent="0.3">
      <c r="A121" s="1">
        <v>2015</v>
      </c>
      <c r="B121" s="20">
        <f t="shared" si="4"/>
        <v>42247</v>
      </c>
      <c r="C121" s="1">
        <v>62</v>
      </c>
      <c r="D121" s="1" t="s">
        <v>2</v>
      </c>
      <c r="E121" s="2">
        <v>9.07</v>
      </c>
      <c r="F121" s="1" t="s">
        <v>28</v>
      </c>
      <c r="H121" s="21" t="str">
        <f t="shared" si="5"/>
        <v/>
      </c>
      <c r="I121" s="21"/>
      <c r="J121" s="3">
        <v>9.07</v>
      </c>
      <c r="K121" s="1">
        <v>39.17</v>
      </c>
      <c r="L121" s="4">
        <f t="shared" si="3"/>
        <v>355.27190000000002</v>
      </c>
    </row>
    <row r="122" spans="1:12" x14ac:dyDescent="0.3">
      <c r="A122" s="1">
        <v>2015</v>
      </c>
      <c r="B122" s="20">
        <f t="shared" si="4"/>
        <v>42247</v>
      </c>
      <c r="C122" s="1">
        <v>63</v>
      </c>
      <c r="D122" s="1" t="s">
        <v>2</v>
      </c>
      <c r="E122" s="2">
        <v>7.72</v>
      </c>
      <c r="F122" s="1" t="s">
        <v>32</v>
      </c>
      <c r="H122" s="21" t="str">
        <f t="shared" si="5"/>
        <v/>
      </c>
      <c r="I122" s="21"/>
      <c r="J122" s="3">
        <v>7.72</v>
      </c>
      <c r="K122" s="1">
        <v>75.19</v>
      </c>
      <c r="L122" s="4">
        <f t="shared" si="3"/>
        <v>580.46679999999992</v>
      </c>
    </row>
    <row r="123" spans="1:12" x14ac:dyDescent="0.3">
      <c r="A123" s="1">
        <v>2015</v>
      </c>
      <c r="B123" s="20">
        <f t="shared" si="4"/>
        <v>42247</v>
      </c>
      <c r="C123" s="1">
        <v>64</v>
      </c>
      <c r="D123" s="1" t="s">
        <v>2</v>
      </c>
      <c r="E123" s="2">
        <v>12.95</v>
      </c>
      <c r="F123" s="1" t="s">
        <v>32</v>
      </c>
      <c r="H123" s="21" t="str">
        <f t="shared" si="5"/>
        <v/>
      </c>
      <c r="I123" s="21"/>
      <c r="J123" s="3">
        <v>12.95</v>
      </c>
      <c r="K123" s="1">
        <v>38.78</v>
      </c>
      <c r="L123" s="4">
        <f t="shared" si="3"/>
        <v>502.20099999999996</v>
      </c>
    </row>
    <row r="124" spans="1:12" x14ac:dyDescent="0.3">
      <c r="A124" s="1">
        <v>2015</v>
      </c>
      <c r="B124" s="20">
        <f t="shared" si="4"/>
        <v>42247</v>
      </c>
      <c r="C124" s="1">
        <v>65</v>
      </c>
      <c r="D124" s="1" t="s">
        <v>2</v>
      </c>
      <c r="E124" s="2">
        <v>8.68</v>
      </c>
      <c r="F124" s="1" t="s">
        <v>32</v>
      </c>
      <c r="H124" s="21" t="str">
        <f t="shared" si="5"/>
        <v/>
      </c>
      <c r="I124" s="21"/>
      <c r="J124" s="3">
        <v>8.68</v>
      </c>
      <c r="K124" s="1">
        <v>83.62</v>
      </c>
      <c r="L124" s="4">
        <f t="shared" si="3"/>
        <v>725.82159999999999</v>
      </c>
    </row>
    <row r="125" spans="1:12" x14ac:dyDescent="0.3">
      <c r="A125" s="1">
        <v>2015</v>
      </c>
      <c r="B125" s="20">
        <f t="shared" si="4"/>
        <v>42247</v>
      </c>
      <c r="C125" s="1">
        <v>66</v>
      </c>
      <c r="D125" s="1" t="s">
        <v>2</v>
      </c>
      <c r="E125" s="2">
        <v>9.23</v>
      </c>
      <c r="F125" s="1" t="s">
        <v>31</v>
      </c>
      <c r="H125" s="21" t="str">
        <f t="shared" si="5"/>
        <v/>
      </c>
      <c r="I125" s="21"/>
      <c r="J125" s="3">
        <v>9.23</v>
      </c>
      <c r="K125" s="1">
        <v>130.68</v>
      </c>
      <c r="L125" s="4">
        <f t="shared" si="3"/>
        <v>1206.1764000000001</v>
      </c>
    </row>
    <row r="126" spans="1:12" x14ac:dyDescent="0.3">
      <c r="A126" s="1">
        <v>2015</v>
      </c>
      <c r="B126" s="20">
        <f t="shared" si="4"/>
        <v>42247</v>
      </c>
      <c r="C126" s="1">
        <v>67</v>
      </c>
      <c r="D126" s="1" t="s">
        <v>2</v>
      </c>
      <c r="E126" s="2">
        <v>13.83</v>
      </c>
      <c r="F126" s="1" t="s">
        <v>31</v>
      </c>
      <c r="H126" s="21" t="str">
        <f t="shared" si="5"/>
        <v/>
      </c>
      <c r="I126" s="21"/>
      <c r="J126" s="3">
        <v>13.83</v>
      </c>
      <c r="K126" s="1">
        <v>135.9</v>
      </c>
      <c r="L126" s="4">
        <f t="shared" si="3"/>
        <v>1879.4970000000001</v>
      </c>
    </row>
    <row r="127" spans="1:12" x14ac:dyDescent="0.3">
      <c r="A127" s="1">
        <v>2015</v>
      </c>
      <c r="B127" s="20">
        <f t="shared" si="4"/>
        <v>42247</v>
      </c>
      <c r="C127" s="1">
        <v>69</v>
      </c>
      <c r="D127" s="1" t="s">
        <v>2</v>
      </c>
      <c r="E127" s="2">
        <v>7.18</v>
      </c>
      <c r="F127" s="1" t="s">
        <v>31</v>
      </c>
      <c r="H127" s="21" t="str">
        <f t="shared" si="5"/>
        <v/>
      </c>
      <c r="I127" s="21"/>
      <c r="J127" s="3">
        <v>7.18</v>
      </c>
      <c r="K127" s="1">
        <v>42.89</v>
      </c>
      <c r="L127" s="4">
        <f t="shared" si="3"/>
        <v>307.9502</v>
      </c>
    </row>
    <row r="128" spans="1:12" x14ac:dyDescent="0.3">
      <c r="A128" s="1">
        <v>2015</v>
      </c>
      <c r="B128" s="20">
        <f t="shared" si="4"/>
        <v>42247</v>
      </c>
      <c r="C128" s="1">
        <v>73</v>
      </c>
      <c r="D128" s="1" t="s">
        <v>2</v>
      </c>
      <c r="E128" s="2">
        <v>5.8</v>
      </c>
      <c r="F128" s="1" t="s">
        <v>28</v>
      </c>
      <c r="H128" s="21" t="str">
        <f t="shared" si="5"/>
        <v/>
      </c>
      <c r="I128" s="21"/>
      <c r="J128" s="3">
        <v>5.8</v>
      </c>
      <c r="K128" s="1">
        <v>72.52</v>
      </c>
      <c r="L128" s="4">
        <f t="shared" si="3"/>
        <v>420.61599999999999</v>
      </c>
    </row>
    <row r="129" spans="1:12" x14ac:dyDescent="0.3">
      <c r="A129" s="1">
        <v>2015</v>
      </c>
      <c r="B129" s="20">
        <f t="shared" si="4"/>
        <v>42247</v>
      </c>
      <c r="C129" s="1">
        <v>74</v>
      </c>
      <c r="D129" s="1" t="s">
        <v>2</v>
      </c>
      <c r="E129" s="2">
        <v>8.65</v>
      </c>
      <c r="F129" s="1" t="s">
        <v>28</v>
      </c>
      <c r="H129" s="21" t="str">
        <f t="shared" si="5"/>
        <v/>
      </c>
      <c r="I129" s="21"/>
      <c r="J129" s="3">
        <v>8.65</v>
      </c>
      <c r="K129" s="1">
        <v>89.77</v>
      </c>
      <c r="L129" s="4">
        <f t="shared" si="3"/>
        <v>776.51049999999998</v>
      </c>
    </row>
    <row r="130" spans="1:12" x14ac:dyDescent="0.3">
      <c r="A130" s="1">
        <v>2015</v>
      </c>
      <c r="B130" s="20">
        <f t="shared" si="4"/>
        <v>42247</v>
      </c>
      <c r="C130" s="1">
        <v>75</v>
      </c>
      <c r="D130" s="1" t="s">
        <v>2</v>
      </c>
      <c r="E130" s="2">
        <v>5.67</v>
      </c>
      <c r="F130" s="1" t="s">
        <v>28</v>
      </c>
      <c r="H130" s="21" t="str">
        <f t="shared" si="5"/>
        <v/>
      </c>
      <c r="I130" s="21"/>
      <c r="J130" s="3">
        <v>5.67</v>
      </c>
      <c r="K130" s="1">
        <v>193.44</v>
      </c>
      <c r="L130" s="4">
        <f t="shared" ref="L130:L193" si="6">J130*K130</f>
        <v>1096.8047999999999</v>
      </c>
    </row>
    <row r="131" spans="1:12" x14ac:dyDescent="0.3">
      <c r="A131" s="1">
        <v>2015</v>
      </c>
      <c r="B131" s="20">
        <f t="shared" ref="B131:B194" si="7">IF(A131="","",DATE(A131,8,31))</f>
        <v>42247</v>
      </c>
      <c r="C131" s="1">
        <v>76</v>
      </c>
      <c r="D131" s="1" t="s">
        <v>2</v>
      </c>
      <c r="E131" s="2">
        <v>3.14</v>
      </c>
      <c r="F131" s="1" t="s">
        <v>28</v>
      </c>
      <c r="H131" s="21" t="str">
        <f t="shared" ref="H131:H194" si="8">IF(OR(G131="",B131=""),"",DATEDIF(G131,B131,"m"))</f>
        <v/>
      </c>
      <c r="I131" s="21"/>
      <c r="J131" s="3">
        <v>3.14</v>
      </c>
      <c r="K131" s="1">
        <v>209.88</v>
      </c>
      <c r="L131" s="4">
        <f t="shared" si="6"/>
        <v>659.02319999999997</v>
      </c>
    </row>
    <row r="132" spans="1:12" x14ac:dyDescent="0.3">
      <c r="A132" s="1">
        <v>2015</v>
      </c>
      <c r="B132" s="20">
        <f t="shared" si="7"/>
        <v>42247</v>
      </c>
      <c r="C132" s="1">
        <v>77</v>
      </c>
      <c r="D132" s="1" t="s">
        <v>2</v>
      </c>
      <c r="E132" s="2">
        <v>9.0299999999999994</v>
      </c>
      <c r="F132" s="1" t="s">
        <v>28</v>
      </c>
      <c r="H132" s="21" t="str">
        <f t="shared" si="8"/>
        <v/>
      </c>
      <c r="I132" s="21"/>
      <c r="J132" s="3">
        <v>9.0299999999999994</v>
      </c>
      <c r="K132" s="1">
        <v>211.53</v>
      </c>
      <c r="L132" s="4">
        <f t="shared" si="6"/>
        <v>1910.1158999999998</v>
      </c>
    </row>
    <row r="133" spans="1:12" x14ac:dyDescent="0.3">
      <c r="A133" s="1">
        <v>2015</v>
      </c>
      <c r="B133" s="20">
        <f t="shared" si="7"/>
        <v>42247</v>
      </c>
      <c r="C133" s="1">
        <v>78</v>
      </c>
      <c r="D133" s="1" t="s">
        <v>2</v>
      </c>
      <c r="E133" s="2">
        <v>3.88</v>
      </c>
      <c r="F133" s="1" t="s">
        <v>28</v>
      </c>
      <c r="H133" s="21" t="str">
        <f t="shared" si="8"/>
        <v/>
      </c>
      <c r="I133" s="21"/>
      <c r="J133" s="3">
        <v>3.88</v>
      </c>
      <c r="K133" s="1">
        <v>133.97</v>
      </c>
      <c r="L133" s="4">
        <f t="shared" si="6"/>
        <v>519.80359999999996</v>
      </c>
    </row>
    <row r="134" spans="1:12" x14ac:dyDescent="0.3">
      <c r="A134" s="1">
        <v>2015</v>
      </c>
      <c r="B134" s="20">
        <f t="shared" si="7"/>
        <v>42247</v>
      </c>
      <c r="C134" s="1">
        <v>79</v>
      </c>
      <c r="D134" s="1" t="s">
        <v>2</v>
      </c>
      <c r="E134" s="2">
        <v>5.55</v>
      </c>
      <c r="F134" s="1" t="s">
        <v>32</v>
      </c>
      <c r="H134" s="21" t="str">
        <f t="shared" si="8"/>
        <v/>
      </c>
      <c r="I134" s="21"/>
      <c r="J134" s="3">
        <v>5.55</v>
      </c>
      <c r="K134" s="1">
        <v>18.78</v>
      </c>
      <c r="L134" s="4">
        <f t="shared" si="6"/>
        <v>104.229</v>
      </c>
    </row>
    <row r="135" spans="1:12" x14ac:dyDescent="0.3">
      <c r="A135" s="1">
        <v>2015</v>
      </c>
      <c r="B135" s="20">
        <f t="shared" si="7"/>
        <v>42247</v>
      </c>
      <c r="C135" s="1">
        <v>80</v>
      </c>
      <c r="D135" s="1" t="s">
        <v>2</v>
      </c>
      <c r="E135" s="2">
        <v>7.3</v>
      </c>
      <c r="F135" s="1" t="s">
        <v>28</v>
      </c>
      <c r="H135" s="21" t="str">
        <f t="shared" si="8"/>
        <v/>
      </c>
      <c r="I135" s="21"/>
      <c r="J135" s="3">
        <v>7.3</v>
      </c>
      <c r="K135" s="1">
        <v>14.52</v>
      </c>
      <c r="L135" s="4">
        <f t="shared" si="6"/>
        <v>105.996</v>
      </c>
    </row>
    <row r="136" spans="1:12" x14ac:dyDescent="0.3">
      <c r="A136" s="1">
        <v>2015</v>
      </c>
      <c r="B136" s="20">
        <f t="shared" si="7"/>
        <v>42247</v>
      </c>
      <c r="C136" s="1">
        <v>81</v>
      </c>
      <c r="D136" s="1" t="s">
        <v>2</v>
      </c>
      <c r="E136" s="2">
        <v>5.89</v>
      </c>
      <c r="F136" s="1" t="s">
        <v>28</v>
      </c>
      <c r="H136" s="21" t="str">
        <f t="shared" si="8"/>
        <v/>
      </c>
      <c r="I136" s="21"/>
      <c r="J136" s="3">
        <v>5.89</v>
      </c>
      <c r="K136" s="1">
        <v>13.64</v>
      </c>
      <c r="L136" s="4">
        <f t="shared" si="6"/>
        <v>80.339600000000004</v>
      </c>
    </row>
    <row r="137" spans="1:12" x14ac:dyDescent="0.3">
      <c r="A137" s="1">
        <v>2015</v>
      </c>
      <c r="B137" s="20">
        <f t="shared" si="7"/>
        <v>42247</v>
      </c>
      <c r="C137" s="1">
        <v>82</v>
      </c>
      <c r="D137" s="1" t="s">
        <v>2</v>
      </c>
      <c r="E137" s="2">
        <v>5.46</v>
      </c>
      <c r="F137" s="1" t="s">
        <v>28</v>
      </c>
      <c r="H137" s="21" t="str">
        <f t="shared" si="8"/>
        <v/>
      </c>
      <c r="I137" s="21"/>
      <c r="J137" s="3">
        <v>5.46</v>
      </c>
      <c r="K137" s="1">
        <v>22.36</v>
      </c>
      <c r="L137" s="4">
        <f t="shared" si="6"/>
        <v>122.0856</v>
      </c>
    </row>
    <row r="138" spans="1:12" x14ac:dyDescent="0.3">
      <c r="A138" s="1">
        <v>2015</v>
      </c>
      <c r="B138" s="20">
        <f t="shared" si="7"/>
        <v>42247</v>
      </c>
      <c r="C138" s="1">
        <v>83</v>
      </c>
      <c r="D138" s="1" t="s">
        <v>2</v>
      </c>
      <c r="E138" s="2">
        <v>7.86</v>
      </c>
      <c r="F138" s="1" t="s">
        <v>19</v>
      </c>
      <c r="H138" s="21" t="str">
        <f t="shared" si="8"/>
        <v/>
      </c>
      <c r="I138" s="21"/>
      <c r="J138" s="3">
        <v>7.86</v>
      </c>
      <c r="K138" s="1">
        <v>99.54</v>
      </c>
      <c r="L138" s="4">
        <f t="shared" si="6"/>
        <v>782.38440000000003</v>
      </c>
    </row>
    <row r="139" spans="1:12" x14ac:dyDescent="0.3">
      <c r="A139" s="1">
        <v>2015</v>
      </c>
      <c r="B139" s="20">
        <f t="shared" si="7"/>
        <v>42247</v>
      </c>
      <c r="C139" s="1">
        <v>84</v>
      </c>
      <c r="D139" s="1" t="s">
        <v>2</v>
      </c>
      <c r="E139" s="2">
        <v>8.4600000000000009</v>
      </c>
      <c r="F139" s="1" t="s">
        <v>19</v>
      </c>
      <c r="H139" s="21" t="str">
        <f t="shared" si="8"/>
        <v/>
      </c>
      <c r="I139" s="21"/>
      <c r="J139" s="3">
        <v>8.4600000000000009</v>
      </c>
      <c r="K139" s="1">
        <v>80.430000000000007</v>
      </c>
      <c r="L139" s="4">
        <f t="shared" si="6"/>
        <v>680.43780000000015</v>
      </c>
    </row>
    <row r="140" spans="1:12" x14ac:dyDescent="0.3">
      <c r="A140" s="1">
        <v>2015</v>
      </c>
      <c r="B140" s="20">
        <f t="shared" si="7"/>
        <v>42247</v>
      </c>
      <c r="C140" s="1">
        <v>85</v>
      </c>
      <c r="D140" s="1" t="s">
        <v>2</v>
      </c>
      <c r="E140" s="2">
        <v>3.31</v>
      </c>
      <c r="F140" s="1" t="s">
        <v>19</v>
      </c>
      <c r="H140" s="21" t="str">
        <f t="shared" si="8"/>
        <v/>
      </c>
      <c r="I140" s="21"/>
      <c r="J140" s="3">
        <v>3.31</v>
      </c>
      <c r="K140" s="1">
        <v>200.88</v>
      </c>
      <c r="L140" s="4">
        <f t="shared" si="6"/>
        <v>664.91279999999995</v>
      </c>
    </row>
    <row r="141" spans="1:12" x14ac:dyDescent="0.3">
      <c r="A141" s="1">
        <v>2015</v>
      </c>
      <c r="B141" s="20">
        <f t="shared" si="7"/>
        <v>42247</v>
      </c>
      <c r="C141" s="1">
        <v>86</v>
      </c>
      <c r="D141" s="1" t="s">
        <v>2</v>
      </c>
      <c r="E141" s="2">
        <v>2.6</v>
      </c>
      <c r="F141" s="1" t="s">
        <v>19</v>
      </c>
      <c r="H141" s="21" t="str">
        <f t="shared" si="8"/>
        <v/>
      </c>
      <c r="I141" s="21"/>
      <c r="J141" s="3">
        <v>2.6</v>
      </c>
      <c r="K141" s="1">
        <v>161.91</v>
      </c>
      <c r="L141" s="4">
        <f t="shared" si="6"/>
        <v>420.96600000000001</v>
      </c>
    </row>
    <row r="142" spans="1:12" x14ac:dyDescent="0.3">
      <c r="A142" s="1">
        <v>2015</v>
      </c>
      <c r="B142" s="20">
        <f t="shared" si="7"/>
        <v>42247</v>
      </c>
      <c r="C142" s="1" t="s">
        <v>13</v>
      </c>
      <c r="D142" s="1" t="s">
        <v>2</v>
      </c>
      <c r="E142" s="2">
        <v>20.41</v>
      </c>
      <c r="F142" s="1" t="s">
        <v>19</v>
      </c>
      <c r="H142" s="21" t="str">
        <f t="shared" si="8"/>
        <v/>
      </c>
      <c r="I142" s="21"/>
      <c r="J142" s="3">
        <v>20.41</v>
      </c>
      <c r="K142" s="1">
        <v>4.83</v>
      </c>
      <c r="L142" s="4">
        <f t="shared" si="6"/>
        <v>98.580300000000008</v>
      </c>
    </row>
    <row r="143" spans="1:12" x14ac:dyDescent="0.3">
      <c r="A143" s="1">
        <v>2015</v>
      </c>
      <c r="B143" s="20">
        <f t="shared" si="7"/>
        <v>42247</v>
      </c>
      <c r="C143" s="1" t="s">
        <v>14</v>
      </c>
      <c r="D143" s="1" t="s">
        <v>12</v>
      </c>
      <c r="E143" s="2">
        <v>4.16</v>
      </c>
      <c r="F143" s="1" t="s">
        <v>19</v>
      </c>
      <c r="H143" s="21" t="str">
        <f t="shared" si="8"/>
        <v/>
      </c>
      <c r="I143" s="21"/>
      <c r="J143" s="3">
        <v>4.16</v>
      </c>
      <c r="K143" s="1">
        <v>76.86</v>
      </c>
      <c r="L143" s="4">
        <f t="shared" si="6"/>
        <v>319.73759999999999</v>
      </c>
    </row>
    <row r="144" spans="1:12" x14ac:dyDescent="0.3">
      <c r="A144" s="1">
        <v>2015</v>
      </c>
      <c r="B144" s="20">
        <f t="shared" si="7"/>
        <v>42247</v>
      </c>
      <c r="C144" s="1" t="s">
        <v>15</v>
      </c>
      <c r="D144" s="1" t="s">
        <v>12</v>
      </c>
      <c r="E144" s="2">
        <v>3.3</v>
      </c>
      <c r="F144" s="1" t="s">
        <v>19</v>
      </c>
      <c r="H144" s="21" t="str">
        <f t="shared" si="8"/>
        <v/>
      </c>
      <c r="I144" s="21"/>
      <c r="J144" s="3">
        <v>3.3</v>
      </c>
      <c r="K144" s="1">
        <v>107.23</v>
      </c>
      <c r="L144" s="4">
        <f t="shared" si="6"/>
        <v>353.85899999999998</v>
      </c>
    </row>
    <row r="145" spans="1:12" x14ac:dyDescent="0.3">
      <c r="A145" s="1">
        <v>2015</v>
      </c>
      <c r="B145" s="20">
        <f t="shared" si="7"/>
        <v>42247</v>
      </c>
      <c r="C145" s="1" t="s">
        <v>16</v>
      </c>
      <c r="D145" s="1" t="s">
        <v>12</v>
      </c>
      <c r="E145" s="2">
        <v>9.75</v>
      </c>
      <c r="F145" s="1" t="s">
        <v>19</v>
      </c>
      <c r="H145" s="21" t="str">
        <f t="shared" si="8"/>
        <v/>
      </c>
      <c r="I145" s="21"/>
      <c r="J145" s="3">
        <v>9.75</v>
      </c>
      <c r="K145" s="1">
        <v>41.95</v>
      </c>
      <c r="L145" s="4">
        <f t="shared" si="6"/>
        <v>409.01250000000005</v>
      </c>
    </row>
    <row r="146" spans="1:12" x14ac:dyDescent="0.3">
      <c r="A146" s="1">
        <v>2016</v>
      </c>
      <c r="B146" s="20">
        <f t="shared" si="7"/>
        <v>42613</v>
      </c>
      <c r="C146" s="1">
        <v>1</v>
      </c>
      <c r="D146" s="1" t="s">
        <v>24</v>
      </c>
      <c r="E146" s="2">
        <v>13.74</v>
      </c>
      <c r="F146" s="1" t="s">
        <v>33</v>
      </c>
      <c r="H146" s="21" t="str">
        <f t="shared" si="8"/>
        <v/>
      </c>
      <c r="I146" s="21"/>
      <c r="J146" s="3">
        <v>13.74</v>
      </c>
      <c r="K146" s="1">
        <v>98.87</v>
      </c>
      <c r="L146" s="4">
        <f t="shared" si="6"/>
        <v>1358.4738</v>
      </c>
    </row>
    <row r="147" spans="1:12" x14ac:dyDescent="0.3">
      <c r="A147" s="1">
        <v>2016</v>
      </c>
      <c r="B147" s="20">
        <f t="shared" si="7"/>
        <v>42613</v>
      </c>
      <c r="C147" s="1">
        <v>2</v>
      </c>
      <c r="D147" s="1" t="s">
        <v>24</v>
      </c>
      <c r="E147" s="2">
        <v>2.36</v>
      </c>
      <c r="F147" s="1" t="s">
        <v>33</v>
      </c>
      <c r="H147" s="21" t="str">
        <f t="shared" si="8"/>
        <v/>
      </c>
      <c r="I147" s="21"/>
      <c r="J147" s="3">
        <v>2.36</v>
      </c>
      <c r="K147" s="1">
        <v>95.87</v>
      </c>
      <c r="L147" s="4">
        <f t="shared" si="6"/>
        <v>226.25319999999999</v>
      </c>
    </row>
    <row r="148" spans="1:12" x14ac:dyDescent="0.3">
      <c r="A148" s="1">
        <v>2016</v>
      </c>
      <c r="B148" s="20">
        <f t="shared" si="7"/>
        <v>42613</v>
      </c>
      <c r="C148" s="1">
        <v>3</v>
      </c>
      <c r="D148" s="1" t="s">
        <v>24</v>
      </c>
      <c r="E148" s="2">
        <v>10.58</v>
      </c>
      <c r="F148" s="1" t="s">
        <v>31</v>
      </c>
      <c r="H148" s="21" t="str">
        <f t="shared" si="8"/>
        <v/>
      </c>
      <c r="I148" s="21"/>
      <c r="J148" s="3">
        <v>10.58</v>
      </c>
      <c r="K148" s="1">
        <v>74.89</v>
      </c>
      <c r="L148" s="4">
        <f t="shared" si="6"/>
        <v>792.33619999999996</v>
      </c>
    </row>
    <row r="149" spans="1:12" x14ac:dyDescent="0.3">
      <c r="A149" s="1">
        <v>2016</v>
      </c>
      <c r="B149" s="20">
        <f t="shared" si="7"/>
        <v>42613</v>
      </c>
      <c r="C149" s="1">
        <v>4</v>
      </c>
      <c r="D149" s="1" t="s">
        <v>24</v>
      </c>
      <c r="E149" s="2">
        <v>9.76</v>
      </c>
      <c r="F149" s="1" t="s">
        <v>31</v>
      </c>
      <c r="H149" s="21" t="str">
        <f t="shared" si="8"/>
        <v/>
      </c>
      <c r="I149" s="21"/>
      <c r="J149" s="3">
        <v>9.76</v>
      </c>
      <c r="K149" s="1">
        <v>81.19</v>
      </c>
      <c r="L149" s="4">
        <f t="shared" si="6"/>
        <v>792.4144</v>
      </c>
    </row>
    <row r="150" spans="1:12" x14ac:dyDescent="0.3">
      <c r="A150" s="1">
        <v>2016</v>
      </c>
      <c r="B150" s="20">
        <f t="shared" si="7"/>
        <v>42613</v>
      </c>
      <c r="C150" s="1">
        <v>5</v>
      </c>
      <c r="D150" s="1" t="s">
        <v>2</v>
      </c>
      <c r="E150" s="2">
        <v>12.65</v>
      </c>
      <c r="F150" s="1" t="s">
        <v>31</v>
      </c>
      <c r="H150" s="21" t="str">
        <f t="shared" si="8"/>
        <v/>
      </c>
      <c r="I150" s="21"/>
      <c r="J150" s="3">
        <v>12.65</v>
      </c>
      <c r="K150" s="1">
        <v>89.49</v>
      </c>
      <c r="L150" s="4">
        <f t="shared" si="6"/>
        <v>1132.0484999999999</v>
      </c>
    </row>
    <row r="151" spans="1:12" x14ac:dyDescent="0.3">
      <c r="A151" s="1">
        <v>2016</v>
      </c>
      <c r="B151" s="20">
        <f t="shared" si="7"/>
        <v>42613</v>
      </c>
      <c r="C151" s="1">
        <v>6</v>
      </c>
      <c r="D151" s="1" t="s">
        <v>2</v>
      </c>
      <c r="E151" s="2">
        <v>18.3</v>
      </c>
      <c r="F151" s="1" t="s">
        <v>31</v>
      </c>
      <c r="H151" s="21" t="str">
        <f t="shared" si="8"/>
        <v/>
      </c>
      <c r="I151" s="21"/>
      <c r="J151" s="3">
        <v>18.3</v>
      </c>
      <c r="K151" s="1">
        <v>74.23</v>
      </c>
      <c r="L151" s="4">
        <f t="shared" si="6"/>
        <v>1358.4090000000001</v>
      </c>
    </row>
    <row r="152" spans="1:12" x14ac:dyDescent="0.3">
      <c r="A152" s="1">
        <v>2016</v>
      </c>
      <c r="B152" s="20">
        <f t="shared" si="7"/>
        <v>42613</v>
      </c>
      <c r="C152" s="1">
        <v>7</v>
      </c>
      <c r="D152" s="1" t="s">
        <v>2</v>
      </c>
      <c r="E152" s="2">
        <v>9.98</v>
      </c>
      <c r="F152" s="1" t="s">
        <v>31</v>
      </c>
      <c r="H152" s="21" t="str">
        <f t="shared" si="8"/>
        <v/>
      </c>
      <c r="I152" s="21"/>
      <c r="J152" s="3">
        <v>9.98</v>
      </c>
      <c r="K152" s="1">
        <v>68.05</v>
      </c>
      <c r="L152" s="4">
        <f t="shared" si="6"/>
        <v>679.13900000000001</v>
      </c>
    </row>
    <row r="153" spans="1:12" x14ac:dyDescent="0.3">
      <c r="A153" s="1">
        <v>2016</v>
      </c>
      <c r="B153" s="20">
        <f t="shared" si="7"/>
        <v>42613</v>
      </c>
      <c r="C153" s="1">
        <v>8</v>
      </c>
      <c r="D153" s="1" t="s">
        <v>24</v>
      </c>
      <c r="E153" s="2">
        <v>8.17</v>
      </c>
      <c r="F153" s="1" t="s">
        <v>31</v>
      </c>
      <c r="H153" s="21" t="str">
        <f t="shared" si="8"/>
        <v/>
      </c>
      <c r="I153" s="21"/>
      <c r="J153" s="3">
        <v>8.17</v>
      </c>
      <c r="K153" s="1">
        <v>83.13</v>
      </c>
      <c r="L153" s="4">
        <f t="shared" si="6"/>
        <v>679.1721</v>
      </c>
    </row>
    <row r="154" spans="1:12" x14ac:dyDescent="0.3">
      <c r="A154" s="1">
        <v>2016</v>
      </c>
      <c r="B154" s="20">
        <f t="shared" si="7"/>
        <v>42613</v>
      </c>
      <c r="C154" s="1">
        <v>9</v>
      </c>
      <c r="D154" s="1" t="s">
        <v>24</v>
      </c>
      <c r="E154" s="2">
        <v>14.39</v>
      </c>
      <c r="F154" s="1" t="s">
        <v>31</v>
      </c>
      <c r="H154" s="21" t="str">
        <f t="shared" si="8"/>
        <v/>
      </c>
      <c r="I154" s="21"/>
      <c r="J154" s="3">
        <v>14.39</v>
      </c>
      <c r="K154" s="1">
        <v>78.67</v>
      </c>
      <c r="L154" s="4">
        <f t="shared" si="6"/>
        <v>1132.0613000000001</v>
      </c>
    </row>
    <row r="155" spans="1:12" x14ac:dyDescent="0.3">
      <c r="A155" s="1">
        <v>2016</v>
      </c>
      <c r="B155" s="20">
        <f t="shared" si="7"/>
        <v>42613</v>
      </c>
      <c r="C155" s="1">
        <v>10</v>
      </c>
      <c r="D155" s="1" t="s">
        <v>2</v>
      </c>
      <c r="E155" s="2">
        <v>6.43</v>
      </c>
      <c r="F155" s="1" t="s">
        <v>31</v>
      </c>
      <c r="H155" s="21" t="str">
        <f t="shared" si="8"/>
        <v/>
      </c>
      <c r="I155" s="21"/>
      <c r="J155" s="3">
        <v>6.43</v>
      </c>
      <c r="K155" s="1">
        <v>64.64</v>
      </c>
      <c r="L155" s="4">
        <f t="shared" si="6"/>
        <v>415.6352</v>
      </c>
    </row>
    <row r="156" spans="1:12" x14ac:dyDescent="0.3">
      <c r="A156" s="1">
        <v>2016</v>
      </c>
      <c r="B156" s="20">
        <f t="shared" si="7"/>
        <v>42613</v>
      </c>
      <c r="C156" s="1">
        <v>12</v>
      </c>
      <c r="D156" s="1" t="s">
        <v>2</v>
      </c>
      <c r="E156" s="2">
        <v>4.66</v>
      </c>
      <c r="F156" s="1" t="s">
        <v>31</v>
      </c>
      <c r="H156" s="21" t="str">
        <f t="shared" si="8"/>
        <v/>
      </c>
      <c r="I156" s="21"/>
      <c r="J156" s="3">
        <v>4.66</v>
      </c>
      <c r="K156" s="1">
        <v>66.73</v>
      </c>
      <c r="L156" s="4">
        <f t="shared" si="6"/>
        <v>310.96180000000004</v>
      </c>
    </row>
    <row r="157" spans="1:12" x14ac:dyDescent="0.3">
      <c r="A157" s="1">
        <v>2016</v>
      </c>
      <c r="B157" s="20">
        <f t="shared" si="7"/>
        <v>42613</v>
      </c>
      <c r="C157" s="1">
        <v>14</v>
      </c>
      <c r="D157" s="1" t="s">
        <v>2</v>
      </c>
      <c r="E157" s="2">
        <v>7.2</v>
      </c>
      <c r="F157" s="1" t="s">
        <v>31</v>
      </c>
      <c r="H157" s="21" t="str">
        <f t="shared" si="8"/>
        <v/>
      </c>
      <c r="I157" s="21"/>
      <c r="J157" s="3">
        <v>7.2</v>
      </c>
      <c r="K157" s="1">
        <v>59.83</v>
      </c>
      <c r="L157" s="4">
        <f t="shared" si="6"/>
        <v>430.77600000000001</v>
      </c>
    </row>
    <row r="158" spans="1:12" x14ac:dyDescent="0.3">
      <c r="A158" s="1">
        <v>2016</v>
      </c>
      <c r="B158" s="20">
        <f t="shared" si="7"/>
        <v>42613</v>
      </c>
      <c r="C158" s="1">
        <v>15</v>
      </c>
      <c r="D158" s="1" t="s">
        <v>3</v>
      </c>
      <c r="E158" s="2">
        <v>9.85</v>
      </c>
      <c r="F158" s="1" t="s">
        <v>31</v>
      </c>
      <c r="H158" s="21" t="str">
        <f t="shared" si="8"/>
        <v/>
      </c>
      <c r="I158" s="21"/>
      <c r="J158" s="3">
        <v>9.85</v>
      </c>
      <c r="K158" s="1">
        <v>44.74</v>
      </c>
      <c r="L158" s="4">
        <f t="shared" si="6"/>
        <v>440.68900000000002</v>
      </c>
    </row>
    <row r="159" spans="1:12" x14ac:dyDescent="0.3">
      <c r="A159" s="1">
        <v>2016</v>
      </c>
      <c r="B159" s="20">
        <f t="shared" si="7"/>
        <v>42613</v>
      </c>
      <c r="C159" s="1">
        <v>16</v>
      </c>
      <c r="D159" s="1" t="s">
        <v>3</v>
      </c>
      <c r="E159" s="2">
        <v>12.88</v>
      </c>
      <c r="F159" s="1" t="s">
        <v>31</v>
      </c>
      <c r="H159" s="21" t="str">
        <f t="shared" si="8"/>
        <v/>
      </c>
      <c r="I159" s="21"/>
      <c r="J159" s="3">
        <v>12.88</v>
      </c>
      <c r="K159" s="1">
        <v>65.37</v>
      </c>
      <c r="L159" s="4">
        <f t="shared" si="6"/>
        <v>841.96560000000011</v>
      </c>
    </row>
    <row r="160" spans="1:12" x14ac:dyDescent="0.3">
      <c r="A160" s="1">
        <v>2016</v>
      </c>
      <c r="B160" s="20">
        <f t="shared" si="7"/>
        <v>42613</v>
      </c>
      <c r="C160" s="1">
        <v>17</v>
      </c>
      <c r="D160" s="1" t="s">
        <v>2</v>
      </c>
      <c r="E160" s="2">
        <v>9.4499999999999993</v>
      </c>
      <c r="F160" s="1" t="s">
        <v>31</v>
      </c>
      <c r="H160" s="21" t="str">
        <f t="shared" si="8"/>
        <v/>
      </c>
      <c r="I160" s="21"/>
      <c r="J160" s="3">
        <v>9.4499999999999993</v>
      </c>
      <c r="K160" s="1">
        <v>54.79</v>
      </c>
      <c r="L160" s="4">
        <f t="shared" si="6"/>
        <v>517.76549999999997</v>
      </c>
    </row>
    <row r="161" spans="1:12" x14ac:dyDescent="0.3">
      <c r="A161" s="1">
        <v>2016</v>
      </c>
      <c r="B161" s="20">
        <f t="shared" si="7"/>
        <v>42613</v>
      </c>
      <c r="C161" s="1">
        <v>18</v>
      </c>
      <c r="D161" s="1" t="s">
        <v>24</v>
      </c>
      <c r="E161" s="2">
        <v>4.12</v>
      </c>
      <c r="F161" s="1" t="s">
        <v>33</v>
      </c>
      <c r="H161" s="21" t="str">
        <f t="shared" si="8"/>
        <v/>
      </c>
      <c r="I161" s="21"/>
      <c r="J161" s="3">
        <v>4.12</v>
      </c>
      <c r="K161" s="1">
        <v>45.35</v>
      </c>
      <c r="L161" s="4">
        <f t="shared" si="6"/>
        <v>186.84200000000001</v>
      </c>
    </row>
    <row r="162" spans="1:12" x14ac:dyDescent="0.3">
      <c r="A162" s="1">
        <v>2016</v>
      </c>
      <c r="B162" s="20">
        <f t="shared" si="7"/>
        <v>42613</v>
      </c>
      <c r="C162" s="1">
        <v>19</v>
      </c>
      <c r="D162" s="1" t="s">
        <v>24</v>
      </c>
      <c r="E162" s="2">
        <v>2.58</v>
      </c>
      <c r="F162" s="1" t="s">
        <v>33</v>
      </c>
      <c r="H162" s="21" t="str">
        <f t="shared" si="8"/>
        <v/>
      </c>
      <c r="I162" s="21"/>
      <c r="J162" s="3">
        <v>2.58</v>
      </c>
      <c r="K162" s="1">
        <v>24.13</v>
      </c>
      <c r="L162" s="4">
        <f t="shared" si="6"/>
        <v>62.255400000000002</v>
      </c>
    </row>
    <row r="163" spans="1:12" x14ac:dyDescent="0.3">
      <c r="A163" s="1">
        <v>2016</v>
      </c>
      <c r="B163" s="20">
        <f t="shared" si="7"/>
        <v>42613</v>
      </c>
      <c r="C163" s="1">
        <v>20</v>
      </c>
      <c r="D163" s="1" t="s">
        <v>2</v>
      </c>
      <c r="E163" s="2">
        <v>4.95</v>
      </c>
      <c r="F163" s="1" t="s">
        <v>31</v>
      </c>
      <c r="G163" s="20">
        <v>41334</v>
      </c>
      <c r="H163" s="21">
        <f t="shared" si="8"/>
        <v>41</v>
      </c>
      <c r="I163" s="24">
        <f>H163/12</f>
        <v>3.4166666666666665</v>
      </c>
      <c r="J163" s="3">
        <v>4.95</v>
      </c>
      <c r="K163" s="1">
        <v>62.42</v>
      </c>
      <c r="L163" s="4">
        <f t="shared" si="6"/>
        <v>308.97900000000004</v>
      </c>
    </row>
    <row r="164" spans="1:12" x14ac:dyDescent="0.3">
      <c r="A164" s="1">
        <v>2016</v>
      </c>
      <c r="B164" s="20">
        <f t="shared" si="7"/>
        <v>42613</v>
      </c>
      <c r="C164" s="1">
        <v>21</v>
      </c>
      <c r="D164" s="1" t="s">
        <v>24</v>
      </c>
      <c r="E164" s="2">
        <v>21.38</v>
      </c>
      <c r="F164" s="1" t="s">
        <v>33</v>
      </c>
      <c r="H164" s="21" t="str">
        <f t="shared" si="8"/>
        <v/>
      </c>
      <c r="I164" s="21"/>
      <c r="J164" s="3">
        <v>21.38</v>
      </c>
      <c r="K164" s="1">
        <v>58.27</v>
      </c>
      <c r="L164" s="4">
        <f t="shared" si="6"/>
        <v>1245.8126</v>
      </c>
    </row>
    <row r="165" spans="1:12" x14ac:dyDescent="0.3">
      <c r="A165" s="1">
        <v>2016</v>
      </c>
      <c r="B165" s="20">
        <f t="shared" si="7"/>
        <v>42613</v>
      </c>
      <c r="C165" s="1">
        <v>22</v>
      </c>
      <c r="D165" s="1" t="s">
        <v>24</v>
      </c>
      <c r="E165" s="2">
        <v>4.16</v>
      </c>
      <c r="F165" s="1" t="s">
        <v>33</v>
      </c>
      <c r="H165" s="21" t="str">
        <f t="shared" si="8"/>
        <v/>
      </c>
      <c r="I165" s="21"/>
      <c r="J165" s="3">
        <v>4.16</v>
      </c>
      <c r="K165" s="1">
        <v>59.89</v>
      </c>
      <c r="L165" s="4">
        <f t="shared" si="6"/>
        <v>249.14240000000001</v>
      </c>
    </row>
    <row r="166" spans="1:12" x14ac:dyDescent="0.3">
      <c r="A166" s="1">
        <v>2016</v>
      </c>
      <c r="B166" s="20">
        <f t="shared" si="7"/>
        <v>42613</v>
      </c>
      <c r="C166" s="1">
        <v>23</v>
      </c>
      <c r="D166" s="1" t="s">
        <v>24</v>
      </c>
      <c r="E166" s="2">
        <v>6.04</v>
      </c>
      <c r="F166" s="1" t="s">
        <v>33</v>
      </c>
      <c r="H166" s="21" t="str">
        <f t="shared" si="8"/>
        <v/>
      </c>
      <c r="I166" s="21"/>
      <c r="J166" s="3">
        <v>6.04</v>
      </c>
      <c r="K166" s="1">
        <v>51.59</v>
      </c>
      <c r="L166" s="4">
        <f t="shared" si="6"/>
        <v>311.60360000000003</v>
      </c>
    </row>
    <row r="167" spans="1:12" x14ac:dyDescent="0.3">
      <c r="A167" s="1">
        <v>2016</v>
      </c>
      <c r="B167" s="20">
        <f t="shared" si="7"/>
        <v>42613</v>
      </c>
      <c r="C167" s="1">
        <v>24</v>
      </c>
      <c r="D167" s="1" t="s">
        <v>12</v>
      </c>
      <c r="E167" s="2">
        <v>6.68</v>
      </c>
      <c r="F167" s="1" t="s">
        <v>28</v>
      </c>
      <c r="H167" s="21" t="str">
        <f t="shared" si="8"/>
        <v/>
      </c>
      <c r="I167" s="21"/>
      <c r="J167" s="3">
        <v>6.68</v>
      </c>
      <c r="K167" s="1">
        <v>59.13</v>
      </c>
      <c r="L167" s="4">
        <f t="shared" si="6"/>
        <v>394.98840000000001</v>
      </c>
    </row>
    <row r="168" spans="1:12" x14ac:dyDescent="0.3">
      <c r="A168" s="1">
        <v>2016</v>
      </c>
      <c r="B168" s="20">
        <f t="shared" si="7"/>
        <v>42613</v>
      </c>
      <c r="C168" s="1">
        <v>25</v>
      </c>
      <c r="D168" s="1" t="s">
        <v>12</v>
      </c>
      <c r="E168" s="2">
        <v>4.9000000000000004</v>
      </c>
      <c r="F168" s="1" t="s">
        <v>28</v>
      </c>
      <c r="H168" s="21" t="str">
        <f t="shared" si="8"/>
        <v/>
      </c>
      <c r="I168" s="21"/>
      <c r="J168" s="3">
        <v>4.9000000000000004</v>
      </c>
      <c r="K168" s="1">
        <v>49.43</v>
      </c>
      <c r="L168" s="4">
        <f t="shared" si="6"/>
        <v>242.20700000000002</v>
      </c>
    </row>
    <row r="169" spans="1:12" x14ac:dyDescent="0.3">
      <c r="A169" s="1">
        <v>2016</v>
      </c>
      <c r="B169" s="20">
        <f t="shared" si="7"/>
        <v>42613</v>
      </c>
      <c r="C169" s="1">
        <v>26</v>
      </c>
      <c r="D169" s="1" t="s">
        <v>12</v>
      </c>
      <c r="E169" s="2">
        <v>4.1100000000000003</v>
      </c>
      <c r="F169" s="1" t="s">
        <v>28</v>
      </c>
      <c r="H169" s="21" t="str">
        <f t="shared" si="8"/>
        <v/>
      </c>
      <c r="I169" s="21"/>
      <c r="J169" s="3">
        <v>4.1100000000000003</v>
      </c>
      <c r="K169" s="1">
        <v>89.92</v>
      </c>
      <c r="L169" s="4">
        <f t="shared" si="6"/>
        <v>369.57120000000003</v>
      </c>
    </row>
    <row r="170" spans="1:12" x14ac:dyDescent="0.3">
      <c r="A170" s="1">
        <v>2016</v>
      </c>
      <c r="B170" s="20">
        <f t="shared" si="7"/>
        <v>42613</v>
      </c>
      <c r="C170" s="1">
        <v>27</v>
      </c>
      <c r="D170" s="1" t="s">
        <v>12</v>
      </c>
      <c r="E170" s="2">
        <v>2.5</v>
      </c>
      <c r="F170" s="1" t="s">
        <v>28</v>
      </c>
      <c r="H170" s="21" t="str">
        <f t="shared" si="8"/>
        <v/>
      </c>
      <c r="I170" s="21"/>
      <c r="J170" s="3">
        <v>2.5</v>
      </c>
      <c r="K170" s="1">
        <v>71.28</v>
      </c>
      <c r="L170" s="4">
        <f t="shared" si="6"/>
        <v>178.2</v>
      </c>
    </row>
    <row r="171" spans="1:12" x14ac:dyDescent="0.3">
      <c r="A171" s="1">
        <v>2016</v>
      </c>
      <c r="B171" s="20">
        <f t="shared" si="7"/>
        <v>42613</v>
      </c>
      <c r="C171" s="1">
        <v>28</v>
      </c>
      <c r="D171" s="1" t="s">
        <v>12</v>
      </c>
      <c r="E171" s="2">
        <v>4.66</v>
      </c>
      <c r="F171" s="1" t="s">
        <v>28</v>
      </c>
      <c r="H171" s="21" t="str">
        <f t="shared" si="8"/>
        <v/>
      </c>
      <c r="I171" s="21"/>
      <c r="J171" s="3">
        <v>4.66</v>
      </c>
      <c r="K171" s="1">
        <v>55.44</v>
      </c>
      <c r="L171" s="4">
        <f t="shared" si="6"/>
        <v>258.35039999999998</v>
      </c>
    </row>
    <row r="172" spans="1:12" x14ac:dyDescent="0.3">
      <c r="A172" s="1">
        <v>2016</v>
      </c>
      <c r="B172" s="20">
        <f t="shared" si="7"/>
        <v>42613</v>
      </c>
      <c r="C172" s="1">
        <v>29</v>
      </c>
      <c r="D172" s="1" t="s">
        <v>26</v>
      </c>
      <c r="E172" s="2">
        <v>2.1800000000000002</v>
      </c>
      <c r="F172" s="1" t="s">
        <v>31</v>
      </c>
      <c r="H172" s="21" t="str">
        <f t="shared" si="8"/>
        <v/>
      </c>
      <c r="I172" s="21"/>
      <c r="J172" s="3">
        <v>2.1800000000000002</v>
      </c>
      <c r="K172" s="1">
        <v>59.56</v>
      </c>
      <c r="L172" s="4">
        <f t="shared" si="6"/>
        <v>129.8408</v>
      </c>
    </row>
    <row r="173" spans="1:12" x14ac:dyDescent="0.3">
      <c r="A173" s="1">
        <v>2016</v>
      </c>
      <c r="B173" s="20">
        <f t="shared" si="7"/>
        <v>42613</v>
      </c>
      <c r="C173" s="1">
        <v>30</v>
      </c>
      <c r="D173" s="1" t="s">
        <v>26</v>
      </c>
      <c r="E173" s="2">
        <v>4.2300000000000004</v>
      </c>
      <c r="F173" s="1" t="s">
        <v>31</v>
      </c>
      <c r="H173" s="21" t="str">
        <f t="shared" si="8"/>
        <v/>
      </c>
      <c r="I173" s="21"/>
      <c r="J173" s="3">
        <v>4.2300000000000004</v>
      </c>
      <c r="K173" s="1">
        <v>66.7</v>
      </c>
      <c r="L173" s="4">
        <f t="shared" si="6"/>
        <v>282.14100000000002</v>
      </c>
    </row>
    <row r="174" spans="1:12" x14ac:dyDescent="0.3">
      <c r="A174" s="1">
        <v>2016</v>
      </c>
      <c r="B174" s="20">
        <f t="shared" si="7"/>
        <v>42613</v>
      </c>
      <c r="C174" s="1">
        <v>31</v>
      </c>
      <c r="D174" s="1" t="s">
        <v>12</v>
      </c>
      <c r="E174" s="2">
        <v>8.4700000000000006</v>
      </c>
      <c r="F174" s="1" t="s">
        <v>28</v>
      </c>
      <c r="H174" s="21" t="str">
        <f t="shared" si="8"/>
        <v/>
      </c>
      <c r="I174" s="21"/>
      <c r="J174" s="3">
        <v>8.4700000000000006</v>
      </c>
      <c r="K174" s="1">
        <v>72.36</v>
      </c>
      <c r="L174" s="4">
        <f t="shared" si="6"/>
        <v>612.88920000000007</v>
      </c>
    </row>
    <row r="175" spans="1:12" x14ac:dyDescent="0.3">
      <c r="A175" s="1">
        <v>2016</v>
      </c>
      <c r="B175" s="20">
        <f t="shared" si="7"/>
        <v>42613</v>
      </c>
      <c r="C175" s="1">
        <v>34</v>
      </c>
      <c r="D175" s="1" t="s">
        <v>12</v>
      </c>
      <c r="E175" s="2">
        <v>5.22</v>
      </c>
      <c r="F175" s="1" t="s">
        <v>28</v>
      </c>
      <c r="H175" s="21" t="str">
        <f t="shared" si="8"/>
        <v/>
      </c>
      <c r="I175" s="21"/>
      <c r="J175" s="3">
        <v>5.22</v>
      </c>
      <c r="K175" s="1">
        <v>71.84</v>
      </c>
      <c r="L175" s="4">
        <f t="shared" si="6"/>
        <v>375.00479999999999</v>
      </c>
    </row>
    <row r="176" spans="1:12" x14ac:dyDescent="0.3">
      <c r="A176" s="1">
        <v>2016</v>
      </c>
      <c r="B176" s="20">
        <f t="shared" si="7"/>
        <v>42613</v>
      </c>
      <c r="C176" s="1">
        <v>35</v>
      </c>
      <c r="D176" s="1" t="s">
        <v>12</v>
      </c>
      <c r="E176" s="2">
        <v>2.91</v>
      </c>
      <c r="F176" s="1" t="s">
        <v>28</v>
      </c>
      <c r="H176" s="21" t="str">
        <f t="shared" si="8"/>
        <v/>
      </c>
      <c r="I176" s="21"/>
      <c r="J176" s="3">
        <v>2.91</v>
      </c>
      <c r="K176" s="1">
        <v>73.02</v>
      </c>
      <c r="L176" s="4">
        <f t="shared" si="6"/>
        <v>212.48820000000001</v>
      </c>
    </row>
    <row r="177" spans="1:12" x14ac:dyDescent="0.3">
      <c r="A177" s="1">
        <v>2016</v>
      </c>
      <c r="B177" s="20">
        <f t="shared" si="7"/>
        <v>42613</v>
      </c>
      <c r="C177" s="1">
        <v>36</v>
      </c>
      <c r="D177" s="1" t="s">
        <v>12</v>
      </c>
      <c r="E177" s="2">
        <v>5.81</v>
      </c>
      <c r="F177" s="1" t="s">
        <v>28</v>
      </c>
      <c r="H177" s="21" t="str">
        <f t="shared" si="8"/>
        <v/>
      </c>
      <c r="I177" s="21"/>
      <c r="J177" s="3">
        <v>5.81</v>
      </c>
      <c r="K177" s="1">
        <v>64.89</v>
      </c>
      <c r="L177" s="4">
        <f t="shared" si="6"/>
        <v>377.01089999999999</v>
      </c>
    </row>
    <row r="178" spans="1:12" x14ac:dyDescent="0.3">
      <c r="A178" s="1">
        <v>2016</v>
      </c>
      <c r="B178" s="20">
        <f t="shared" si="7"/>
        <v>42613</v>
      </c>
      <c r="C178" s="1">
        <v>37</v>
      </c>
      <c r="D178" s="1" t="s">
        <v>12</v>
      </c>
      <c r="E178" s="2">
        <v>4.58</v>
      </c>
      <c r="F178" s="1" t="s">
        <v>28</v>
      </c>
      <c r="H178" s="21" t="str">
        <f t="shared" si="8"/>
        <v/>
      </c>
      <c r="I178" s="21"/>
      <c r="J178" s="3">
        <v>4.58</v>
      </c>
      <c r="K178" s="1">
        <v>66.88</v>
      </c>
      <c r="L178" s="4">
        <f t="shared" si="6"/>
        <v>306.31039999999996</v>
      </c>
    </row>
    <row r="179" spans="1:12" x14ac:dyDescent="0.3">
      <c r="A179" s="1">
        <v>2016</v>
      </c>
      <c r="B179" s="20">
        <f t="shared" si="7"/>
        <v>42613</v>
      </c>
      <c r="C179" s="1">
        <v>38</v>
      </c>
      <c r="D179" s="1" t="s">
        <v>12</v>
      </c>
      <c r="E179" s="2">
        <v>2.09</v>
      </c>
      <c r="F179" s="1" t="s">
        <v>28</v>
      </c>
      <c r="H179" s="21" t="str">
        <f t="shared" si="8"/>
        <v/>
      </c>
      <c r="I179" s="21"/>
      <c r="J179" s="3">
        <v>2.09</v>
      </c>
      <c r="K179" s="1">
        <v>80.5</v>
      </c>
      <c r="L179" s="4">
        <f t="shared" si="6"/>
        <v>168.24499999999998</v>
      </c>
    </row>
    <row r="180" spans="1:12" x14ac:dyDescent="0.3">
      <c r="A180" s="1">
        <v>2016</v>
      </c>
      <c r="B180" s="20">
        <f t="shared" si="7"/>
        <v>42613</v>
      </c>
      <c r="C180" s="1">
        <v>39</v>
      </c>
      <c r="D180" s="1" t="s">
        <v>12</v>
      </c>
      <c r="E180" s="2">
        <v>4.88</v>
      </c>
      <c r="F180" s="1" t="s">
        <v>28</v>
      </c>
      <c r="H180" s="21" t="str">
        <f t="shared" si="8"/>
        <v/>
      </c>
      <c r="I180" s="21"/>
      <c r="J180" s="3">
        <v>4.88</v>
      </c>
      <c r="K180" s="1">
        <v>53.04</v>
      </c>
      <c r="L180" s="4">
        <f t="shared" si="6"/>
        <v>258.83519999999999</v>
      </c>
    </row>
    <row r="181" spans="1:12" x14ac:dyDescent="0.3">
      <c r="A181" s="1">
        <v>2016</v>
      </c>
      <c r="B181" s="20">
        <f t="shared" si="7"/>
        <v>42613</v>
      </c>
      <c r="C181" s="1">
        <v>40</v>
      </c>
      <c r="D181" s="1" t="s">
        <v>26</v>
      </c>
      <c r="E181" s="2">
        <v>4.01</v>
      </c>
      <c r="F181" s="1" t="s">
        <v>28</v>
      </c>
      <c r="H181" s="21" t="str">
        <f t="shared" si="8"/>
        <v/>
      </c>
      <c r="I181" s="21"/>
      <c r="J181" s="3">
        <v>4.01</v>
      </c>
      <c r="K181" s="1">
        <v>69.02</v>
      </c>
      <c r="L181" s="4">
        <f t="shared" si="6"/>
        <v>276.77019999999999</v>
      </c>
    </row>
    <row r="182" spans="1:12" x14ac:dyDescent="0.3">
      <c r="A182" s="1">
        <v>2016</v>
      </c>
      <c r="B182" s="20">
        <f t="shared" si="7"/>
        <v>42613</v>
      </c>
      <c r="C182" s="1">
        <v>41</v>
      </c>
      <c r="D182" s="1" t="s">
        <v>26</v>
      </c>
      <c r="E182" s="2">
        <v>3.73</v>
      </c>
      <c r="F182" s="1" t="s">
        <v>28</v>
      </c>
      <c r="H182" s="21" t="str">
        <f t="shared" si="8"/>
        <v/>
      </c>
      <c r="I182" s="21"/>
      <c r="J182" s="3">
        <v>3.73</v>
      </c>
      <c r="K182" s="1">
        <v>82.91</v>
      </c>
      <c r="L182" s="4">
        <f t="shared" si="6"/>
        <v>309.2543</v>
      </c>
    </row>
    <row r="183" spans="1:12" x14ac:dyDescent="0.3">
      <c r="A183" s="1">
        <v>2016</v>
      </c>
      <c r="B183" s="20">
        <f t="shared" si="7"/>
        <v>42613</v>
      </c>
      <c r="C183" s="1">
        <v>42</v>
      </c>
      <c r="D183" s="1" t="s">
        <v>26</v>
      </c>
      <c r="E183" s="2">
        <v>6.06</v>
      </c>
      <c r="F183" s="1" t="s">
        <v>28</v>
      </c>
      <c r="H183" s="21" t="str">
        <f t="shared" si="8"/>
        <v/>
      </c>
      <c r="I183" s="21"/>
      <c r="J183" s="3">
        <v>6.06</v>
      </c>
      <c r="K183" s="1">
        <v>65.69</v>
      </c>
      <c r="L183" s="4">
        <f t="shared" si="6"/>
        <v>398.08139999999997</v>
      </c>
    </row>
    <row r="184" spans="1:12" x14ac:dyDescent="0.3">
      <c r="A184" s="1">
        <v>2016</v>
      </c>
      <c r="B184" s="20">
        <f t="shared" si="7"/>
        <v>42613</v>
      </c>
      <c r="C184" s="1">
        <v>43</v>
      </c>
      <c r="D184" s="1" t="s">
        <v>26</v>
      </c>
      <c r="E184" s="2">
        <v>4.58</v>
      </c>
      <c r="F184" s="1" t="s">
        <v>28</v>
      </c>
      <c r="H184" s="21" t="str">
        <f t="shared" si="8"/>
        <v/>
      </c>
      <c r="I184" s="21"/>
      <c r="J184" s="3">
        <v>4.58</v>
      </c>
      <c r="K184" s="1">
        <v>58.2</v>
      </c>
      <c r="L184" s="4">
        <f t="shared" si="6"/>
        <v>266.55600000000004</v>
      </c>
    </row>
    <row r="185" spans="1:12" x14ac:dyDescent="0.3">
      <c r="A185" s="1">
        <v>2016</v>
      </c>
      <c r="B185" s="20">
        <f t="shared" si="7"/>
        <v>42613</v>
      </c>
      <c r="C185" s="1">
        <v>44</v>
      </c>
      <c r="D185" s="1" t="s">
        <v>26</v>
      </c>
      <c r="E185" s="2">
        <v>2.98</v>
      </c>
      <c r="F185" s="1" t="s">
        <v>28</v>
      </c>
      <c r="H185" s="21" t="str">
        <f t="shared" si="8"/>
        <v/>
      </c>
      <c r="I185" s="21"/>
      <c r="J185" s="3">
        <v>2.98</v>
      </c>
      <c r="K185" s="1">
        <v>73.7</v>
      </c>
      <c r="L185" s="4">
        <f t="shared" si="6"/>
        <v>219.626</v>
      </c>
    </row>
    <row r="186" spans="1:12" x14ac:dyDescent="0.3">
      <c r="A186" s="1">
        <v>2016</v>
      </c>
      <c r="B186" s="20">
        <f t="shared" si="7"/>
        <v>42613</v>
      </c>
      <c r="C186" s="1">
        <v>47</v>
      </c>
      <c r="D186" s="1" t="s">
        <v>2</v>
      </c>
      <c r="E186" s="2">
        <v>7.69</v>
      </c>
      <c r="F186" s="1" t="s">
        <v>28</v>
      </c>
      <c r="H186" s="21" t="str">
        <f t="shared" si="8"/>
        <v/>
      </c>
      <c r="I186" s="21"/>
      <c r="J186" s="3">
        <v>7.69</v>
      </c>
      <c r="K186" s="1">
        <v>38.68</v>
      </c>
      <c r="L186" s="4">
        <f t="shared" si="6"/>
        <v>297.44920000000002</v>
      </c>
    </row>
    <row r="187" spans="1:12" x14ac:dyDescent="0.3">
      <c r="A187" s="1">
        <v>2016</v>
      </c>
      <c r="B187" s="20">
        <f t="shared" si="7"/>
        <v>42613</v>
      </c>
      <c r="C187" s="1">
        <v>48</v>
      </c>
      <c r="D187" s="1" t="s">
        <v>2</v>
      </c>
      <c r="E187" s="2">
        <v>4.1900000000000004</v>
      </c>
      <c r="F187" s="1" t="s">
        <v>28</v>
      </c>
      <c r="H187" s="21" t="str">
        <f t="shared" si="8"/>
        <v/>
      </c>
      <c r="I187" s="21"/>
      <c r="J187" s="3">
        <v>4.1900000000000004</v>
      </c>
      <c r="K187" s="1">
        <v>55.21</v>
      </c>
      <c r="L187" s="4">
        <f t="shared" si="6"/>
        <v>231.32990000000004</v>
      </c>
    </row>
    <row r="188" spans="1:12" x14ac:dyDescent="0.3">
      <c r="A188" s="1">
        <v>2016</v>
      </c>
      <c r="B188" s="20">
        <f t="shared" si="7"/>
        <v>42613</v>
      </c>
      <c r="C188" s="1">
        <v>52</v>
      </c>
      <c r="D188" s="1" t="s">
        <v>26</v>
      </c>
      <c r="E188" s="2">
        <v>8.07</v>
      </c>
      <c r="F188" s="1" t="s">
        <v>31</v>
      </c>
      <c r="H188" s="21" t="str">
        <f t="shared" si="8"/>
        <v/>
      </c>
      <c r="I188" s="21"/>
      <c r="J188" s="3">
        <v>8.07</v>
      </c>
      <c r="K188" s="1">
        <v>62.7</v>
      </c>
      <c r="L188" s="4">
        <f t="shared" si="6"/>
        <v>505.98900000000003</v>
      </c>
    </row>
    <row r="189" spans="1:12" x14ac:dyDescent="0.3">
      <c r="A189" s="1">
        <v>2016</v>
      </c>
      <c r="B189" s="20">
        <f t="shared" si="7"/>
        <v>42613</v>
      </c>
      <c r="C189" s="1">
        <v>53</v>
      </c>
      <c r="D189" s="1" t="s">
        <v>2</v>
      </c>
      <c r="E189" s="2">
        <v>13.43</v>
      </c>
      <c r="F189" s="1" t="s">
        <v>31</v>
      </c>
      <c r="H189" s="21" t="str">
        <f t="shared" si="8"/>
        <v/>
      </c>
      <c r="I189" s="21"/>
      <c r="J189" s="3">
        <v>13.43</v>
      </c>
      <c r="K189" s="1">
        <v>63.98</v>
      </c>
      <c r="L189" s="4">
        <f t="shared" si="6"/>
        <v>859.25139999999999</v>
      </c>
    </row>
    <row r="190" spans="1:12" x14ac:dyDescent="0.3">
      <c r="A190" s="1">
        <v>2016</v>
      </c>
      <c r="B190" s="20">
        <f t="shared" si="7"/>
        <v>42613</v>
      </c>
      <c r="C190" s="1">
        <v>54</v>
      </c>
      <c r="D190" s="1" t="s">
        <v>26</v>
      </c>
      <c r="E190" s="2">
        <v>10.199999999999999</v>
      </c>
      <c r="F190" s="1" t="s">
        <v>31</v>
      </c>
      <c r="H190" s="21" t="str">
        <f t="shared" si="8"/>
        <v/>
      </c>
      <c r="I190" s="21"/>
      <c r="J190" s="3">
        <v>10.199999999999999</v>
      </c>
      <c r="K190" s="1">
        <v>52.97</v>
      </c>
      <c r="L190" s="4">
        <f t="shared" si="6"/>
        <v>540.29399999999998</v>
      </c>
    </row>
    <row r="191" spans="1:12" x14ac:dyDescent="0.3">
      <c r="A191" s="1">
        <v>2016</v>
      </c>
      <c r="B191" s="20">
        <f t="shared" si="7"/>
        <v>42613</v>
      </c>
      <c r="C191" s="1">
        <v>55</v>
      </c>
      <c r="D191" s="1" t="s">
        <v>26</v>
      </c>
      <c r="E191" s="2">
        <v>4.22</v>
      </c>
      <c r="F191" s="1" t="s">
        <v>31</v>
      </c>
      <c r="H191" s="21" t="str">
        <f t="shared" si="8"/>
        <v/>
      </c>
      <c r="I191" s="21"/>
      <c r="J191" s="3">
        <v>4.22</v>
      </c>
      <c r="K191" s="1">
        <v>81.19</v>
      </c>
      <c r="L191" s="4">
        <f t="shared" si="6"/>
        <v>342.62179999999995</v>
      </c>
    </row>
    <row r="192" spans="1:12" x14ac:dyDescent="0.3">
      <c r="A192" s="1">
        <v>2016</v>
      </c>
      <c r="B192" s="20">
        <f t="shared" si="7"/>
        <v>42613</v>
      </c>
      <c r="C192" s="1">
        <v>56</v>
      </c>
      <c r="D192" s="1" t="s">
        <v>26</v>
      </c>
      <c r="E192" s="2">
        <v>10.37</v>
      </c>
      <c r="F192" s="1" t="s">
        <v>31</v>
      </c>
      <c r="H192" s="21" t="str">
        <f t="shared" si="8"/>
        <v/>
      </c>
      <c r="I192" s="21"/>
      <c r="J192" s="3">
        <v>10.37</v>
      </c>
      <c r="K192" s="1">
        <v>49.66</v>
      </c>
      <c r="L192" s="4">
        <f t="shared" si="6"/>
        <v>514.97419999999988</v>
      </c>
    </row>
    <row r="193" spans="1:12" x14ac:dyDescent="0.3">
      <c r="A193" s="1">
        <v>2016</v>
      </c>
      <c r="B193" s="20">
        <f t="shared" si="7"/>
        <v>42613</v>
      </c>
      <c r="C193" s="1">
        <v>57</v>
      </c>
      <c r="D193" s="1" t="s">
        <v>26</v>
      </c>
      <c r="E193" s="2">
        <v>11.04</v>
      </c>
      <c r="F193" s="1" t="s">
        <v>31</v>
      </c>
      <c r="H193" s="21" t="str">
        <f t="shared" si="8"/>
        <v/>
      </c>
      <c r="I193" s="21"/>
      <c r="J193" s="3">
        <v>11.04</v>
      </c>
      <c r="K193" s="1">
        <v>42.58</v>
      </c>
      <c r="L193" s="4">
        <f t="shared" si="6"/>
        <v>470.08319999999992</v>
      </c>
    </row>
    <row r="194" spans="1:12" x14ac:dyDescent="0.3">
      <c r="A194" s="1">
        <v>2016</v>
      </c>
      <c r="B194" s="20">
        <f t="shared" si="7"/>
        <v>42613</v>
      </c>
      <c r="C194" s="1">
        <v>59</v>
      </c>
      <c r="D194" s="1" t="s">
        <v>26</v>
      </c>
      <c r="E194" s="2">
        <v>6.59</v>
      </c>
      <c r="F194" s="1" t="s">
        <v>31</v>
      </c>
      <c r="H194" s="21" t="str">
        <f t="shared" si="8"/>
        <v/>
      </c>
      <c r="I194" s="21"/>
      <c r="J194" s="3">
        <v>6.59</v>
      </c>
      <c r="K194" s="1">
        <v>76.19</v>
      </c>
      <c r="L194" s="4">
        <f t="shared" ref="L194:L257" si="9">J194*K194</f>
        <v>502.09209999999996</v>
      </c>
    </row>
    <row r="195" spans="1:12" x14ac:dyDescent="0.3">
      <c r="A195" s="1">
        <v>2016</v>
      </c>
      <c r="B195" s="20">
        <f t="shared" ref="B195:B258" si="10">IF(A195="","",DATE(A195,8,31))</f>
        <v>42613</v>
      </c>
      <c r="C195" s="1">
        <v>60</v>
      </c>
      <c r="D195" s="1" t="s">
        <v>26</v>
      </c>
      <c r="E195" s="2">
        <v>6.79</v>
      </c>
      <c r="F195" s="1" t="s">
        <v>31</v>
      </c>
      <c r="H195" s="21" t="str">
        <f t="shared" ref="H195:H258" si="11">IF(OR(G195="",B195=""),"",DATEDIF(G195,B195,"m"))</f>
        <v/>
      </c>
      <c r="I195" s="21"/>
      <c r="J195" s="3">
        <v>6.79</v>
      </c>
      <c r="K195" s="1">
        <v>71.87</v>
      </c>
      <c r="L195" s="4">
        <f t="shared" si="9"/>
        <v>487.99730000000005</v>
      </c>
    </row>
    <row r="196" spans="1:12" x14ac:dyDescent="0.3">
      <c r="A196" s="1">
        <v>2016</v>
      </c>
      <c r="B196" s="20">
        <f t="shared" si="10"/>
        <v>42613</v>
      </c>
      <c r="C196" s="1">
        <v>61</v>
      </c>
      <c r="D196" s="1" t="s">
        <v>2</v>
      </c>
      <c r="E196" s="2">
        <v>0.9</v>
      </c>
      <c r="F196" s="1" t="s">
        <v>31</v>
      </c>
      <c r="H196" s="21" t="str">
        <f t="shared" si="11"/>
        <v/>
      </c>
      <c r="I196" s="21"/>
      <c r="J196" s="3">
        <v>0.9</v>
      </c>
      <c r="K196" s="1">
        <v>62.71</v>
      </c>
      <c r="L196" s="4">
        <f t="shared" si="9"/>
        <v>56.439</v>
      </c>
    </row>
    <row r="197" spans="1:12" x14ac:dyDescent="0.3">
      <c r="A197" s="1">
        <v>2016</v>
      </c>
      <c r="B197" s="20">
        <f t="shared" si="10"/>
        <v>42613</v>
      </c>
      <c r="C197" s="1">
        <v>62</v>
      </c>
      <c r="D197" s="1" t="s">
        <v>2</v>
      </c>
      <c r="E197" s="2">
        <v>9.1300000000000008</v>
      </c>
      <c r="F197" s="1" t="s">
        <v>31</v>
      </c>
      <c r="H197" s="21" t="str">
        <f t="shared" si="11"/>
        <v/>
      </c>
      <c r="I197" s="21"/>
      <c r="J197" s="3">
        <v>9.1300000000000008</v>
      </c>
      <c r="K197" s="1">
        <v>99.4</v>
      </c>
      <c r="L197" s="4">
        <f t="shared" si="9"/>
        <v>907.52200000000016</v>
      </c>
    </row>
    <row r="198" spans="1:12" x14ac:dyDescent="0.3">
      <c r="A198" s="1">
        <v>2016</v>
      </c>
      <c r="B198" s="20">
        <f t="shared" si="10"/>
        <v>42613</v>
      </c>
      <c r="C198" s="1">
        <v>63</v>
      </c>
      <c r="D198" s="1" t="s">
        <v>2</v>
      </c>
      <c r="E198" s="2">
        <v>7.8</v>
      </c>
      <c r="F198" s="1" t="s">
        <v>33</v>
      </c>
      <c r="H198" s="21" t="str">
        <f t="shared" si="11"/>
        <v/>
      </c>
      <c r="I198" s="21"/>
      <c r="J198" s="3">
        <v>7.8</v>
      </c>
      <c r="K198" s="1">
        <v>102.29</v>
      </c>
      <c r="L198" s="4">
        <f t="shared" si="9"/>
        <v>797.86200000000008</v>
      </c>
    </row>
    <row r="199" spans="1:12" x14ac:dyDescent="0.3">
      <c r="A199" s="1">
        <v>2016</v>
      </c>
      <c r="B199" s="20">
        <f t="shared" si="10"/>
        <v>42613</v>
      </c>
      <c r="C199" s="1">
        <v>64</v>
      </c>
      <c r="D199" s="1" t="s">
        <v>2</v>
      </c>
      <c r="E199" s="2">
        <v>12.95</v>
      </c>
      <c r="F199" s="1" t="s">
        <v>33</v>
      </c>
      <c r="H199" s="21" t="str">
        <f t="shared" si="11"/>
        <v/>
      </c>
      <c r="I199" s="21"/>
      <c r="J199" s="3">
        <v>12.95</v>
      </c>
      <c r="K199" s="1">
        <v>102.69</v>
      </c>
      <c r="L199" s="4">
        <f t="shared" si="9"/>
        <v>1329.8354999999999</v>
      </c>
    </row>
    <row r="200" spans="1:12" x14ac:dyDescent="0.3">
      <c r="A200" s="1">
        <v>2016</v>
      </c>
      <c r="B200" s="20">
        <f t="shared" si="10"/>
        <v>42613</v>
      </c>
      <c r="C200" s="1">
        <v>65</v>
      </c>
      <c r="D200" s="1" t="s">
        <v>2</v>
      </c>
      <c r="E200" s="2">
        <v>8.66</v>
      </c>
      <c r="F200" s="1" t="s">
        <v>33</v>
      </c>
      <c r="H200" s="21" t="str">
        <f t="shared" si="11"/>
        <v/>
      </c>
      <c r="I200" s="21"/>
      <c r="J200" s="3">
        <v>8.66</v>
      </c>
      <c r="K200" s="1">
        <v>92.13</v>
      </c>
      <c r="L200" s="4">
        <f t="shared" si="9"/>
        <v>797.84579999999994</v>
      </c>
    </row>
    <row r="201" spans="1:12" x14ac:dyDescent="0.3">
      <c r="A201" s="1">
        <v>2016</v>
      </c>
      <c r="B201" s="20">
        <f t="shared" si="10"/>
        <v>42613</v>
      </c>
      <c r="C201" s="1">
        <v>66</v>
      </c>
      <c r="D201" s="1" t="s">
        <v>2</v>
      </c>
      <c r="E201" s="2">
        <v>9.23</v>
      </c>
      <c r="F201" s="1" t="s">
        <v>32</v>
      </c>
      <c r="H201" s="21" t="str">
        <f t="shared" si="11"/>
        <v/>
      </c>
      <c r="I201" s="21"/>
      <c r="J201" s="3">
        <v>9.23</v>
      </c>
      <c r="K201" s="1">
        <v>86.44</v>
      </c>
      <c r="L201" s="4">
        <f t="shared" si="9"/>
        <v>797.84120000000007</v>
      </c>
    </row>
    <row r="202" spans="1:12" x14ac:dyDescent="0.3">
      <c r="A202" s="1">
        <v>2016</v>
      </c>
      <c r="B202" s="20">
        <f t="shared" si="10"/>
        <v>42613</v>
      </c>
      <c r="C202" s="1">
        <v>67</v>
      </c>
      <c r="D202" s="1" t="s">
        <v>2</v>
      </c>
      <c r="E202" s="2">
        <v>13.83</v>
      </c>
      <c r="F202" s="1" t="s">
        <v>32</v>
      </c>
      <c r="H202" s="21" t="str">
        <f t="shared" si="11"/>
        <v/>
      </c>
      <c r="I202" s="21"/>
      <c r="J202" s="3">
        <v>13.83</v>
      </c>
      <c r="K202" s="1">
        <v>96.16</v>
      </c>
      <c r="L202" s="4">
        <f t="shared" si="9"/>
        <v>1329.8927999999999</v>
      </c>
    </row>
    <row r="203" spans="1:12" x14ac:dyDescent="0.3">
      <c r="A203" s="1">
        <v>2016</v>
      </c>
      <c r="B203" s="20">
        <f t="shared" si="10"/>
        <v>42613</v>
      </c>
      <c r="C203" s="1">
        <v>69</v>
      </c>
      <c r="D203" s="1" t="s">
        <v>2</v>
      </c>
      <c r="E203" s="2">
        <v>7.18</v>
      </c>
      <c r="F203" s="1" t="s">
        <v>32</v>
      </c>
      <c r="H203" s="21" t="str">
        <f t="shared" si="11"/>
        <v/>
      </c>
      <c r="I203" s="21"/>
      <c r="J203" s="3">
        <v>7.18</v>
      </c>
      <c r="K203" s="1">
        <v>92.6</v>
      </c>
      <c r="L203" s="4">
        <f t="shared" si="9"/>
        <v>664.86799999999994</v>
      </c>
    </row>
    <row r="204" spans="1:12" x14ac:dyDescent="0.3">
      <c r="A204" s="1">
        <v>2016</v>
      </c>
      <c r="B204" s="20">
        <f t="shared" si="10"/>
        <v>42613</v>
      </c>
      <c r="C204" s="1">
        <v>73</v>
      </c>
      <c r="D204" s="1" t="s">
        <v>2</v>
      </c>
      <c r="E204" s="2">
        <v>5.8</v>
      </c>
      <c r="F204" s="1" t="s">
        <v>31</v>
      </c>
      <c r="H204" s="21" t="str">
        <f t="shared" si="11"/>
        <v/>
      </c>
      <c r="I204" s="21"/>
      <c r="J204" s="3">
        <v>5.8</v>
      </c>
      <c r="K204" s="1">
        <v>91.7</v>
      </c>
      <c r="L204" s="4">
        <f t="shared" si="9"/>
        <v>531.86</v>
      </c>
    </row>
    <row r="205" spans="1:12" x14ac:dyDescent="0.3">
      <c r="A205" s="1">
        <v>2016</v>
      </c>
      <c r="B205" s="20">
        <f t="shared" si="10"/>
        <v>42613</v>
      </c>
      <c r="C205" s="1">
        <v>74</v>
      </c>
      <c r="D205" s="1" t="s">
        <v>2</v>
      </c>
      <c r="E205" s="2">
        <v>8.66</v>
      </c>
      <c r="F205" s="1" t="s">
        <v>31</v>
      </c>
      <c r="H205" s="21" t="str">
        <f t="shared" si="11"/>
        <v/>
      </c>
      <c r="I205" s="21"/>
      <c r="J205" s="3">
        <v>8.66</v>
      </c>
      <c r="K205" s="1">
        <v>76.77</v>
      </c>
      <c r="L205" s="4">
        <f t="shared" si="9"/>
        <v>664.82819999999992</v>
      </c>
    </row>
    <row r="206" spans="1:12" x14ac:dyDescent="0.3">
      <c r="A206" s="1">
        <v>2016</v>
      </c>
      <c r="B206" s="20">
        <f t="shared" si="10"/>
        <v>42613</v>
      </c>
      <c r="C206" s="1">
        <v>75</v>
      </c>
      <c r="D206" s="1" t="s">
        <v>2</v>
      </c>
      <c r="E206" s="2">
        <v>5.63</v>
      </c>
      <c r="F206" s="1" t="s">
        <v>31</v>
      </c>
      <c r="H206" s="21" t="str">
        <f t="shared" si="11"/>
        <v/>
      </c>
      <c r="I206" s="21"/>
      <c r="J206" s="3">
        <v>5.63</v>
      </c>
      <c r="K206" s="1">
        <v>141.71</v>
      </c>
      <c r="L206" s="4">
        <f t="shared" si="9"/>
        <v>797.82730000000004</v>
      </c>
    </row>
    <row r="207" spans="1:12" x14ac:dyDescent="0.3">
      <c r="A207" s="1">
        <v>2016</v>
      </c>
      <c r="B207" s="20">
        <f t="shared" si="10"/>
        <v>42613</v>
      </c>
      <c r="C207" s="1">
        <v>76</v>
      </c>
      <c r="D207" s="1" t="s">
        <v>2</v>
      </c>
      <c r="E207" s="2">
        <v>3.21</v>
      </c>
      <c r="F207" s="1" t="s">
        <v>31</v>
      </c>
      <c r="H207" s="21" t="str">
        <f t="shared" si="11"/>
        <v/>
      </c>
      <c r="I207" s="21"/>
      <c r="J207" s="3">
        <v>3.21</v>
      </c>
      <c r="K207" s="1">
        <v>82.81</v>
      </c>
      <c r="L207" s="4">
        <f t="shared" si="9"/>
        <v>265.82010000000002</v>
      </c>
    </row>
    <row r="208" spans="1:12" x14ac:dyDescent="0.3">
      <c r="A208" s="1">
        <v>2016</v>
      </c>
      <c r="B208" s="20">
        <f t="shared" si="10"/>
        <v>42613</v>
      </c>
      <c r="C208" s="1">
        <v>77</v>
      </c>
      <c r="D208" s="1" t="s">
        <v>2</v>
      </c>
      <c r="E208" s="2">
        <v>9.0299999999999994</v>
      </c>
      <c r="F208" s="1" t="s">
        <v>31</v>
      </c>
      <c r="H208" s="21" t="str">
        <f t="shared" si="11"/>
        <v/>
      </c>
      <c r="I208" s="21"/>
      <c r="J208" s="3">
        <v>9.0299999999999994</v>
      </c>
      <c r="K208" s="1">
        <v>88.35</v>
      </c>
      <c r="L208" s="4">
        <f t="shared" si="9"/>
        <v>797.80049999999994</v>
      </c>
    </row>
    <row r="209" spans="1:12" x14ac:dyDescent="0.3">
      <c r="A209" s="1">
        <v>2016</v>
      </c>
      <c r="B209" s="20">
        <f t="shared" si="10"/>
        <v>42613</v>
      </c>
      <c r="C209" s="1">
        <v>78</v>
      </c>
      <c r="D209" s="1" t="s">
        <v>2</v>
      </c>
      <c r="E209" s="2">
        <v>3.88</v>
      </c>
      <c r="F209" s="1" t="s">
        <v>31</v>
      </c>
      <c r="H209" s="21" t="str">
        <f t="shared" si="11"/>
        <v/>
      </c>
      <c r="I209" s="21"/>
      <c r="J209" s="3">
        <v>3.88</v>
      </c>
      <c r="K209" s="1">
        <v>69.03</v>
      </c>
      <c r="L209" s="4">
        <f t="shared" si="9"/>
        <v>267.83639999999997</v>
      </c>
    </row>
    <row r="210" spans="1:12" x14ac:dyDescent="0.3">
      <c r="A210" s="1">
        <v>2016</v>
      </c>
      <c r="B210" s="20">
        <f t="shared" si="10"/>
        <v>42613</v>
      </c>
      <c r="C210" s="1">
        <v>79</v>
      </c>
      <c r="D210" s="1" t="s">
        <v>2</v>
      </c>
      <c r="E210" s="2">
        <v>5.55</v>
      </c>
      <c r="F210" s="1" t="s">
        <v>33</v>
      </c>
      <c r="H210" s="21" t="str">
        <f t="shared" si="11"/>
        <v/>
      </c>
      <c r="I210" s="21"/>
      <c r="J210" s="3">
        <v>5.55</v>
      </c>
      <c r="K210" s="1">
        <v>59.37</v>
      </c>
      <c r="L210" s="4">
        <f t="shared" si="9"/>
        <v>329.50349999999997</v>
      </c>
    </row>
    <row r="211" spans="1:12" x14ac:dyDescent="0.3">
      <c r="A211" s="1">
        <v>2016</v>
      </c>
      <c r="B211" s="20">
        <f t="shared" si="10"/>
        <v>42613</v>
      </c>
      <c r="C211" s="1">
        <v>80</v>
      </c>
      <c r="D211" s="1" t="s">
        <v>2</v>
      </c>
      <c r="E211" s="2">
        <v>7.3</v>
      </c>
      <c r="F211" s="1" t="s">
        <v>31</v>
      </c>
      <c r="H211" s="21" t="str">
        <f t="shared" si="11"/>
        <v/>
      </c>
      <c r="I211" s="21"/>
      <c r="J211" s="3">
        <v>7.3</v>
      </c>
      <c r="K211" s="1">
        <v>55.48</v>
      </c>
      <c r="L211" s="4">
        <f t="shared" si="9"/>
        <v>405.00399999999996</v>
      </c>
    </row>
    <row r="212" spans="1:12" x14ac:dyDescent="0.3">
      <c r="A212" s="1">
        <v>2016</v>
      </c>
      <c r="B212" s="20">
        <f t="shared" si="10"/>
        <v>42613</v>
      </c>
      <c r="C212" s="1">
        <v>81</v>
      </c>
      <c r="D212" s="1" t="s">
        <v>2</v>
      </c>
      <c r="E212" s="2">
        <v>5.89</v>
      </c>
      <c r="F212" s="1" t="s">
        <v>31</v>
      </c>
      <c r="H212" s="21" t="str">
        <f t="shared" si="11"/>
        <v/>
      </c>
      <c r="I212" s="21"/>
      <c r="J212" s="3">
        <v>5.89</v>
      </c>
      <c r="K212" s="1">
        <v>73.37</v>
      </c>
      <c r="L212" s="4">
        <f t="shared" si="9"/>
        <v>432.14929999999998</v>
      </c>
    </row>
    <row r="213" spans="1:12" x14ac:dyDescent="0.3">
      <c r="A213" s="1">
        <v>2016</v>
      </c>
      <c r="B213" s="20">
        <f t="shared" si="10"/>
        <v>42613</v>
      </c>
      <c r="C213" s="1">
        <v>82</v>
      </c>
      <c r="D213" s="1" t="s">
        <v>2</v>
      </c>
      <c r="E213" s="2">
        <v>5.46</v>
      </c>
      <c r="F213" s="1" t="s">
        <v>31</v>
      </c>
      <c r="H213" s="21" t="str">
        <f t="shared" si="11"/>
        <v/>
      </c>
      <c r="I213" s="21"/>
      <c r="J213" s="3">
        <v>5.46</v>
      </c>
      <c r="K213" s="1">
        <v>73.209999999999994</v>
      </c>
      <c r="L213" s="4">
        <f t="shared" si="9"/>
        <v>399.72659999999996</v>
      </c>
    </row>
    <row r="214" spans="1:12" x14ac:dyDescent="0.3">
      <c r="A214" s="1">
        <v>2016</v>
      </c>
      <c r="B214" s="20">
        <f t="shared" si="10"/>
        <v>42613</v>
      </c>
      <c r="C214" s="1">
        <v>83</v>
      </c>
      <c r="D214" s="1" t="s">
        <v>2</v>
      </c>
      <c r="E214" s="2">
        <v>7.86</v>
      </c>
      <c r="F214" s="1" t="s">
        <v>28</v>
      </c>
      <c r="H214" s="21" t="str">
        <f t="shared" si="11"/>
        <v/>
      </c>
      <c r="I214" s="21"/>
      <c r="J214" s="3">
        <v>7.86</v>
      </c>
      <c r="K214" s="1">
        <v>67.73</v>
      </c>
      <c r="L214" s="4">
        <f t="shared" si="9"/>
        <v>532.3578</v>
      </c>
    </row>
    <row r="215" spans="1:12" x14ac:dyDescent="0.3">
      <c r="A215" s="1">
        <v>2016</v>
      </c>
      <c r="B215" s="20">
        <f t="shared" si="10"/>
        <v>42613</v>
      </c>
      <c r="C215" s="1">
        <v>84</v>
      </c>
      <c r="D215" s="1" t="s">
        <v>2</v>
      </c>
      <c r="E215" s="2">
        <v>8.4600000000000009</v>
      </c>
      <c r="F215" s="1" t="s">
        <v>28</v>
      </c>
      <c r="H215" s="21" t="str">
        <f t="shared" si="11"/>
        <v/>
      </c>
      <c r="I215" s="21"/>
      <c r="J215" s="3">
        <v>8.4600000000000009</v>
      </c>
      <c r="K215" s="1">
        <v>65.14</v>
      </c>
      <c r="L215" s="4">
        <f t="shared" si="9"/>
        <v>551.08440000000007</v>
      </c>
    </row>
    <row r="216" spans="1:12" x14ac:dyDescent="0.3">
      <c r="A216" s="1">
        <v>2016</v>
      </c>
      <c r="B216" s="20">
        <f t="shared" si="10"/>
        <v>42613</v>
      </c>
      <c r="C216" s="1">
        <v>85</v>
      </c>
      <c r="D216" s="1" t="s">
        <v>2</v>
      </c>
      <c r="E216" s="2">
        <v>3.31</v>
      </c>
      <c r="F216" s="1" t="s">
        <v>28</v>
      </c>
      <c r="H216" s="21" t="str">
        <f t="shared" si="11"/>
        <v/>
      </c>
      <c r="I216" s="21"/>
      <c r="J216" s="3">
        <v>3.31</v>
      </c>
      <c r="K216" s="1">
        <v>68.23</v>
      </c>
      <c r="L216" s="4">
        <f t="shared" si="9"/>
        <v>225.84130000000002</v>
      </c>
    </row>
    <row r="217" spans="1:12" x14ac:dyDescent="0.3">
      <c r="A217" s="1">
        <v>2016</v>
      </c>
      <c r="B217" s="20">
        <f t="shared" si="10"/>
        <v>42613</v>
      </c>
      <c r="C217" s="1">
        <v>86</v>
      </c>
      <c r="D217" s="1" t="s">
        <v>2</v>
      </c>
      <c r="E217" s="2">
        <v>2.6</v>
      </c>
      <c r="F217" s="1" t="s">
        <v>28</v>
      </c>
      <c r="H217" s="21" t="str">
        <f t="shared" si="11"/>
        <v/>
      </c>
      <c r="I217" s="21"/>
      <c r="J217" s="3">
        <v>2.6</v>
      </c>
      <c r="K217" s="1">
        <v>64.319999999999993</v>
      </c>
      <c r="L217" s="4">
        <f t="shared" si="9"/>
        <v>167.232</v>
      </c>
    </row>
    <row r="218" spans="1:12" x14ac:dyDescent="0.3">
      <c r="A218" s="1">
        <v>2016</v>
      </c>
      <c r="B218" s="20">
        <f t="shared" si="10"/>
        <v>42613</v>
      </c>
      <c r="C218" s="1">
        <v>87</v>
      </c>
      <c r="D218" s="1" t="s">
        <v>2</v>
      </c>
      <c r="E218" s="2">
        <v>20.41</v>
      </c>
      <c r="F218" s="1" t="s">
        <v>28</v>
      </c>
      <c r="H218" s="21" t="str">
        <f t="shared" si="11"/>
        <v/>
      </c>
      <c r="I218" s="21"/>
      <c r="J218" s="3">
        <v>20.41</v>
      </c>
      <c r="K218" s="1">
        <v>75.709999999999994</v>
      </c>
      <c r="L218" s="4">
        <f t="shared" si="9"/>
        <v>1545.2411</v>
      </c>
    </row>
    <row r="219" spans="1:12" x14ac:dyDescent="0.3">
      <c r="A219" s="1">
        <v>2016</v>
      </c>
      <c r="B219" s="20">
        <f t="shared" si="10"/>
        <v>42613</v>
      </c>
      <c r="C219" s="1">
        <v>88</v>
      </c>
      <c r="D219" s="1" t="s">
        <v>12</v>
      </c>
      <c r="E219" s="2">
        <v>4.16</v>
      </c>
      <c r="F219" s="1" t="s">
        <v>28</v>
      </c>
      <c r="H219" s="21" t="str">
        <f t="shared" si="11"/>
        <v/>
      </c>
      <c r="I219" s="21"/>
      <c r="J219" s="3">
        <v>4.16</v>
      </c>
      <c r="K219" s="1">
        <v>46.34</v>
      </c>
      <c r="L219" s="4">
        <f t="shared" si="9"/>
        <v>192.77440000000001</v>
      </c>
    </row>
    <row r="220" spans="1:12" x14ac:dyDescent="0.3">
      <c r="A220" s="1">
        <v>2016</v>
      </c>
      <c r="B220" s="20">
        <f t="shared" si="10"/>
        <v>42613</v>
      </c>
      <c r="C220" s="1">
        <v>89</v>
      </c>
      <c r="D220" s="1" t="s">
        <v>12</v>
      </c>
      <c r="E220" s="2">
        <v>3.3</v>
      </c>
      <c r="F220" s="1" t="s">
        <v>28</v>
      </c>
      <c r="H220" s="21" t="str">
        <f t="shared" si="11"/>
        <v/>
      </c>
      <c r="I220" s="21"/>
      <c r="J220" s="3">
        <v>3.3</v>
      </c>
      <c r="K220" s="1">
        <v>50.96</v>
      </c>
      <c r="L220" s="4">
        <f t="shared" si="9"/>
        <v>168.16800000000001</v>
      </c>
    </row>
    <row r="221" spans="1:12" x14ac:dyDescent="0.3">
      <c r="A221" s="1">
        <v>2016</v>
      </c>
      <c r="B221" s="20">
        <f t="shared" si="10"/>
        <v>42613</v>
      </c>
      <c r="C221" s="1">
        <v>90</v>
      </c>
      <c r="D221" s="1" t="s">
        <v>12</v>
      </c>
      <c r="E221" s="2">
        <v>9.75</v>
      </c>
      <c r="F221" s="1" t="s">
        <v>28</v>
      </c>
      <c r="H221" s="21" t="str">
        <f t="shared" si="11"/>
        <v/>
      </c>
      <c r="I221" s="21"/>
      <c r="J221" s="3">
        <v>9.75</v>
      </c>
      <c r="K221" s="1">
        <v>51.74</v>
      </c>
      <c r="L221" s="4">
        <f t="shared" si="9"/>
        <v>504.46500000000003</v>
      </c>
    </row>
    <row r="222" spans="1:12" x14ac:dyDescent="0.3">
      <c r="A222" s="1">
        <v>2017</v>
      </c>
      <c r="B222" s="20">
        <f t="shared" si="10"/>
        <v>42978</v>
      </c>
      <c r="C222" s="1">
        <v>3</v>
      </c>
      <c r="D222" s="1" t="s">
        <v>24</v>
      </c>
      <c r="E222" s="2">
        <v>10.58</v>
      </c>
      <c r="F222" s="1" t="s">
        <v>32</v>
      </c>
      <c r="H222" s="21" t="str">
        <f t="shared" si="11"/>
        <v/>
      </c>
      <c r="I222" s="21"/>
      <c r="J222" s="3">
        <v>10.58</v>
      </c>
      <c r="K222" s="1">
        <v>76.040000000000006</v>
      </c>
      <c r="L222" s="4">
        <f t="shared" si="9"/>
        <v>804.50320000000011</v>
      </c>
    </row>
    <row r="223" spans="1:12" x14ac:dyDescent="0.3">
      <c r="A223" s="1">
        <v>2017</v>
      </c>
      <c r="B223" s="20">
        <f t="shared" si="10"/>
        <v>42978</v>
      </c>
      <c r="C223" s="1">
        <v>4</v>
      </c>
      <c r="D223" s="1" t="s">
        <v>24</v>
      </c>
      <c r="E223" s="2">
        <v>9.76</v>
      </c>
      <c r="F223" s="1" t="s">
        <v>32</v>
      </c>
      <c r="H223" s="21" t="str">
        <f t="shared" si="11"/>
        <v/>
      </c>
      <c r="I223" s="21"/>
      <c r="J223" s="3">
        <v>9.76</v>
      </c>
      <c r="K223" s="1">
        <v>78.400000000000006</v>
      </c>
      <c r="L223" s="4">
        <f t="shared" si="9"/>
        <v>765.18400000000008</v>
      </c>
    </row>
    <row r="224" spans="1:12" x14ac:dyDescent="0.3">
      <c r="A224" s="1">
        <v>2017</v>
      </c>
      <c r="B224" s="20">
        <f t="shared" si="10"/>
        <v>42978</v>
      </c>
      <c r="C224" s="1">
        <v>5</v>
      </c>
      <c r="D224" s="1" t="s">
        <v>2</v>
      </c>
      <c r="E224" s="2">
        <v>12.65</v>
      </c>
      <c r="F224" s="1" t="s">
        <v>32</v>
      </c>
      <c r="H224" s="21" t="str">
        <f t="shared" si="11"/>
        <v/>
      </c>
      <c r="I224" s="21"/>
      <c r="J224" s="3">
        <v>12.65</v>
      </c>
      <c r="K224" s="1">
        <v>78.53</v>
      </c>
      <c r="L224" s="4">
        <f t="shared" si="9"/>
        <v>993.4045000000001</v>
      </c>
    </row>
    <row r="225" spans="1:12" x14ac:dyDescent="0.3">
      <c r="A225" s="1">
        <v>2017</v>
      </c>
      <c r="B225" s="20">
        <f t="shared" si="10"/>
        <v>42978</v>
      </c>
      <c r="C225" s="1">
        <v>6</v>
      </c>
      <c r="D225" s="1" t="s">
        <v>2</v>
      </c>
      <c r="E225" s="2">
        <v>18.3</v>
      </c>
      <c r="F225" s="1" t="s">
        <v>32</v>
      </c>
      <c r="H225" s="21" t="str">
        <f t="shared" si="11"/>
        <v/>
      </c>
      <c r="I225" s="21"/>
      <c r="J225" s="3">
        <v>18.3</v>
      </c>
      <c r="K225" s="1">
        <v>76.38</v>
      </c>
      <c r="L225" s="4">
        <f t="shared" si="9"/>
        <v>1397.7539999999999</v>
      </c>
    </row>
    <row r="226" spans="1:12" x14ac:dyDescent="0.3">
      <c r="A226" s="1">
        <v>2017</v>
      </c>
      <c r="B226" s="20">
        <f t="shared" si="10"/>
        <v>42978</v>
      </c>
      <c r="C226" s="1">
        <v>7</v>
      </c>
      <c r="D226" s="1" t="s">
        <v>2</v>
      </c>
      <c r="E226" s="2">
        <v>9.98</v>
      </c>
      <c r="F226" s="1" t="s">
        <v>32</v>
      </c>
      <c r="H226" s="21" t="str">
        <f t="shared" si="11"/>
        <v/>
      </c>
      <c r="I226" s="21"/>
      <c r="J226" s="3">
        <v>9.98</v>
      </c>
      <c r="K226" s="1">
        <v>97.82</v>
      </c>
      <c r="L226" s="4">
        <f t="shared" si="9"/>
        <v>976.24360000000001</v>
      </c>
    </row>
    <row r="227" spans="1:12" x14ac:dyDescent="0.3">
      <c r="A227" s="1">
        <v>2017</v>
      </c>
      <c r="B227" s="20">
        <f t="shared" si="10"/>
        <v>42978</v>
      </c>
      <c r="C227" s="1">
        <v>8</v>
      </c>
      <c r="D227" s="1" t="s">
        <v>24</v>
      </c>
      <c r="E227" s="2">
        <v>8.17</v>
      </c>
      <c r="F227" s="1" t="s">
        <v>32</v>
      </c>
      <c r="H227" s="21" t="str">
        <f t="shared" si="11"/>
        <v/>
      </c>
      <c r="I227" s="21"/>
      <c r="J227" s="3">
        <v>8.17</v>
      </c>
      <c r="K227" s="1">
        <v>110.83</v>
      </c>
      <c r="L227" s="4">
        <f t="shared" si="9"/>
        <v>905.48109999999997</v>
      </c>
    </row>
    <row r="228" spans="1:12" x14ac:dyDescent="0.3">
      <c r="A228" s="1">
        <v>2017</v>
      </c>
      <c r="B228" s="20">
        <f t="shared" si="10"/>
        <v>42978</v>
      </c>
      <c r="C228" s="1">
        <v>9</v>
      </c>
      <c r="D228" s="1" t="s">
        <v>24</v>
      </c>
      <c r="E228" s="2">
        <v>14.39</v>
      </c>
      <c r="F228" s="1" t="s">
        <v>32</v>
      </c>
      <c r="H228" s="21" t="str">
        <f t="shared" si="11"/>
        <v/>
      </c>
      <c r="I228" s="21"/>
      <c r="J228" s="3">
        <v>14.39</v>
      </c>
      <c r="K228" s="1">
        <v>68.349999999999994</v>
      </c>
      <c r="L228" s="4">
        <f t="shared" si="9"/>
        <v>983.55649999999991</v>
      </c>
    </row>
    <row r="229" spans="1:12" x14ac:dyDescent="0.3">
      <c r="A229" s="1">
        <v>2017</v>
      </c>
      <c r="B229" s="20">
        <f t="shared" si="10"/>
        <v>42978</v>
      </c>
      <c r="C229" s="1">
        <v>10</v>
      </c>
      <c r="D229" s="1" t="s">
        <v>2</v>
      </c>
      <c r="E229" s="2">
        <v>6.43</v>
      </c>
      <c r="F229" s="1" t="s">
        <v>32</v>
      </c>
      <c r="H229" s="21" t="str">
        <f t="shared" si="11"/>
        <v/>
      </c>
      <c r="I229" s="21"/>
      <c r="J229" s="3">
        <v>6.43</v>
      </c>
      <c r="K229" s="1">
        <v>90.37</v>
      </c>
      <c r="L229" s="4">
        <f t="shared" si="9"/>
        <v>581.07910000000004</v>
      </c>
    </row>
    <row r="230" spans="1:12" x14ac:dyDescent="0.3">
      <c r="A230" s="1">
        <v>2017</v>
      </c>
      <c r="B230" s="20">
        <f t="shared" si="10"/>
        <v>42978</v>
      </c>
      <c r="C230" s="1">
        <v>12</v>
      </c>
      <c r="D230" s="1" t="s">
        <v>2</v>
      </c>
      <c r="E230" s="2">
        <v>4.66</v>
      </c>
      <c r="F230" s="1" t="s">
        <v>32</v>
      </c>
      <c r="H230" s="21" t="str">
        <f t="shared" si="11"/>
        <v/>
      </c>
      <c r="I230" s="21"/>
      <c r="J230" s="3">
        <v>4.66</v>
      </c>
      <c r="K230" s="1">
        <v>74.81</v>
      </c>
      <c r="L230" s="4">
        <f t="shared" si="9"/>
        <v>348.6146</v>
      </c>
    </row>
    <row r="231" spans="1:12" x14ac:dyDescent="0.3">
      <c r="A231" s="1">
        <v>2017</v>
      </c>
      <c r="B231" s="20">
        <f t="shared" si="10"/>
        <v>42978</v>
      </c>
      <c r="C231" s="1">
        <v>14</v>
      </c>
      <c r="D231" s="1" t="s">
        <v>2</v>
      </c>
      <c r="E231" s="2">
        <v>7.2</v>
      </c>
      <c r="F231" s="1" t="s">
        <v>32</v>
      </c>
      <c r="H231" s="21" t="str">
        <f t="shared" si="11"/>
        <v/>
      </c>
      <c r="I231" s="21"/>
      <c r="J231" s="3">
        <v>7.2</v>
      </c>
      <c r="K231" s="1">
        <v>80.040000000000006</v>
      </c>
      <c r="L231" s="4">
        <f t="shared" si="9"/>
        <v>576.28800000000001</v>
      </c>
    </row>
    <row r="232" spans="1:12" x14ac:dyDescent="0.3">
      <c r="A232" s="1">
        <v>2017</v>
      </c>
      <c r="B232" s="20">
        <f t="shared" si="10"/>
        <v>42978</v>
      </c>
      <c r="C232" s="1">
        <v>15</v>
      </c>
      <c r="D232" s="1" t="s">
        <v>3</v>
      </c>
      <c r="E232" s="2">
        <v>9.85</v>
      </c>
      <c r="F232" s="1" t="s">
        <v>32</v>
      </c>
      <c r="H232" s="21" t="str">
        <f t="shared" si="11"/>
        <v/>
      </c>
      <c r="I232" s="21"/>
      <c r="J232" s="3">
        <v>9.85</v>
      </c>
      <c r="K232" s="1">
        <v>58.51</v>
      </c>
      <c r="L232" s="4">
        <f t="shared" si="9"/>
        <v>576.32349999999997</v>
      </c>
    </row>
    <row r="233" spans="1:12" x14ac:dyDescent="0.3">
      <c r="A233" s="1">
        <v>2017</v>
      </c>
      <c r="B233" s="20">
        <f t="shared" si="10"/>
        <v>42978</v>
      </c>
      <c r="C233" s="1">
        <v>16</v>
      </c>
      <c r="D233" s="1" t="s">
        <v>3</v>
      </c>
      <c r="E233" s="2">
        <v>12.88</v>
      </c>
      <c r="F233" s="1" t="s">
        <v>32</v>
      </c>
      <c r="H233" s="21" t="str">
        <f t="shared" si="11"/>
        <v/>
      </c>
      <c r="I233" s="21"/>
      <c r="J233" s="3">
        <v>12.88</v>
      </c>
      <c r="K233" s="1">
        <v>78.31</v>
      </c>
      <c r="L233" s="4">
        <f t="shared" si="9"/>
        <v>1008.6328000000001</v>
      </c>
    </row>
    <row r="234" spans="1:12" x14ac:dyDescent="0.3">
      <c r="A234" s="1">
        <v>2017</v>
      </c>
      <c r="B234" s="20">
        <f t="shared" si="10"/>
        <v>42978</v>
      </c>
      <c r="C234" s="1">
        <v>17</v>
      </c>
      <c r="D234" s="1" t="s">
        <v>2</v>
      </c>
      <c r="E234" s="2">
        <v>9.4499999999999993</v>
      </c>
      <c r="F234" s="1" t="s">
        <v>32</v>
      </c>
      <c r="H234" s="21" t="str">
        <f t="shared" si="11"/>
        <v/>
      </c>
      <c r="I234" s="21"/>
      <c r="J234" s="3">
        <v>9.4499999999999993</v>
      </c>
      <c r="K234" s="1">
        <v>60.98</v>
      </c>
      <c r="L234" s="4">
        <f t="shared" si="9"/>
        <v>576.26099999999997</v>
      </c>
    </row>
    <row r="235" spans="1:12" x14ac:dyDescent="0.3">
      <c r="A235" s="1">
        <v>2017</v>
      </c>
      <c r="B235" s="20">
        <f t="shared" si="10"/>
        <v>42978</v>
      </c>
      <c r="C235" s="1">
        <v>20</v>
      </c>
      <c r="D235" s="1" t="s">
        <v>2</v>
      </c>
      <c r="E235" s="2">
        <v>4.95</v>
      </c>
      <c r="F235" s="1" t="s">
        <v>32</v>
      </c>
      <c r="G235" s="20">
        <v>41334</v>
      </c>
      <c r="H235" s="21">
        <f t="shared" si="11"/>
        <v>53</v>
      </c>
      <c r="I235" s="24">
        <f>H235/12</f>
        <v>4.416666666666667</v>
      </c>
      <c r="J235" s="3">
        <v>4.95</v>
      </c>
      <c r="K235" s="1">
        <v>72.760000000000005</v>
      </c>
      <c r="L235" s="4">
        <f t="shared" si="9"/>
        <v>360.16200000000003</v>
      </c>
    </row>
    <row r="236" spans="1:12" x14ac:dyDescent="0.3">
      <c r="A236" s="1">
        <v>2017</v>
      </c>
      <c r="B236" s="20">
        <f t="shared" si="10"/>
        <v>42978</v>
      </c>
      <c r="C236" s="1">
        <v>24</v>
      </c>
      <c r="D236" s="1" t="s">
        <v>12</v>
      </c>
      <c r="E236" s="2">
        <v>6.68</v>
      </c>
      <c r="F236" s="1" t="s">
        <v>31</v>
      </c>
      <c r="H236" s="21" t="str">
        <f t="shared" si="11"/>
        <v/>
      </c>
      <c r="I236" s="21"/>
      <c r="J236" s="3">
        <v>6.68</v>
      </c>
      <c r="K236" s="1">
        <v>64.7</v>
      </c>
      <c r="L236" s="4">
        <f t="shared" si="9"/>
        <v>432.19600000000003</v>
      </c>
    </row>
    <row r="237" spans="1:12" x14ac:dyDescent="0.3">
      <c r="A237" s="1">
        <v>2017</v>
      </c>
      <c r="B237" s="20">
        <f t="shared" si="10"/>
        <v>42978</v>
      </c>
      <c r="C237" s="1">
        <v>25</v>
      </c>
      <c r="D237" s="1" t="s">
        <v>12</v>
      </c>
      <c r="E237" s="2">
        <v>4.9000000000000004</v>
      </c>
      <c r="F237" s="1" t="s">
        <v>31</v>
      </c>
      <c r="H237" s="21" t="str">
        <f t="shared" si="11"/>
        <v/>
      </c>
      <c r="I237" s="21"/>
      <c r="J237" s="3">
        <v>4.9000000000000004</v>
      </c>
      <c r="K237" s="1">
        <v>74.14</v>
      </c>
      <c r="L237" s="4">
        <f t="shared" si="9"/>
        <v>363.286</v>
      </c>
    </row>
    <row r="238" spans="1:12" x14ac:dyDescent="0.3">
      <c r="A238" s="1">
        <v>2017</v>
      </c>
      <c r="B238" s="20">
        <f t="shared" si="10"/>
        <v>42978</v>
      </c>
      <c r="C238" s="1">
        <v>26</v>
      </c>
      <c r="D238" s="1" t="s">
        <v>12</v>
      </c>
      <c r="E238" s="2">
        <v>4.1100000000000003</v>
      </c>
      <c r="F238" s="1" t="s">
        <v>31</v>
      </c>
      <c r="H238" s="21" t="str">
        <f t="shared" si="11"/>
        <v/>
      </c>
      <c r="I238" s="21"/>
      <c r="J238" s="3">
        <v>4.1100000000000003</v>
      </c>
      <c r="K238" s="1">
        <v>73.650000000000006</v>
      </c>
      <c r="L238" s="4">
        <f t="shared" si="9"/>
        <v>302.70150000000007</v>
      </c>
    </row>
    <row r="239" spans="1:12" x14ac:dyDescent="0.3">
      <c r="A239" s="1">
        <v>2017</v>
      </c>
      <c r="B239" s="20">
        <f t="shared" si="10"/>
        <v>42978</v>
      </c>
      <c r="C239" s="1">
        <v>27</v>
      </c>
      <c r="D239" s="1" t="s">
        <v>12</v>
      </c>
      <c r="E239" s="2">
        <v>2.5</v>
      </c>
      <c r="F239" s="1" t="s">
        <v>31</v>
      </c>
      <c r="H239" s="21" t="str">
        <f t="shared" si="11"/>
        <v/>
      </c>
      <c r="I239" s="21"/>
      <c r="J239" s="3">
        <v>2.5</v>
      </c>
      <c r="K239" s="1">
        <v>72.63</v>
      </c>
      <c r="L239" s="4">
        <f t="shared" si="9"/>
        <v>181.57499999999999</v>
      </c>
    </row>
    <row r="240" spans="1:12" x14ac:dyDescent="0.3">
      <c r="A240" s="1">
        <v>2017</v>
      </c>
      <c r="B240" s="20">
        <f t="shared" si="10"/>
        <v>42978</v>
      </c>
      <c r="C240" s="1">
        <v>28</v>
      </c>
      <c r="D240" s="1" t="s">
        <v>12</v>
      </c>
      <c r="E240" s="2">
        <v>4.66</v>
      </c>
      <c r="F240" s="1" t="s">
        <v>31</v>
      </c>
      <c r="H240" s="21" t="str">
        <f t="shared" si="11"/>
        <v/>
      </c>
      <c r="I240" s="21"/>
      <c r="J240" s="3">
        <v>4.66</v>
      </c>
      <c r="K240" s="1">
        <v>77.959999999999994</v>
      </c>
      <c r="L240" s="4">
        <f t="shared" si="9"/>
        <v>363.29359999999997</v>
      </c>
    </row>
    <row r="241" spans="1:12" x14ac:dyDescent="0.3">
      <c r="A241" s="1">
        <v>2017</v>
      </c>
      <c r="B241" s="20">
        <f t="shared" si="10"/>
        <v>42978</v>
      </c>
      <c r="C241" s="1">
        <v>29</v>
      </c>
      <c r="D241" s="1" t="s">
        <v>26</v>
      </c>
      <c r="E241" s="2">
        <v>2.1800000000000002</v>
      </c>
      <c r="F241" s="1" t="s">
        <v>32</v>
      </c>
      <c r="H241" s="21" t="str">
        <f t="shared" si="11"/>
        <v/>
      </c>
      <c r="I241" s="21"/>
      <c r="J241" s="3">
        <v>2.1800000000000002</v>
      </c>
      <c r="K241" s="1">
        <v>83.29</v>
      </c>
      <c r="L241" s="4">
        <f t="shared" si="9"/>
        <v>181.57220000000004</v>
      </c>
    </row>
    <row r="242" spans="1:12" x14ac:dyDescent="0.3">
      <c r="A242" s="1">
        <v>2017</v>
      </c>
      <c r="B242" s="20">
        <f t="shared" si="10"/>
        <v>42978</v>
      </c>
      <c r="C242" s="1">
        <v>30</v>
      </c>
      <c r="D242" s="1" t="s">
        <v>26</v>
      </c>
      <c r="E242" s="2">
        <v>4.2300000000000004</v>
      </c>
      <c r="F242" s="1" t="s">
        <v>32</v>
      </c>
      <c r="H242" s="21" t="str">
        <f t="shared" si="11"/>
        <v/>
      </c>
      <c r="I242" s="21"/>
      <c r="J242" s="3">
        <v>4.2300000000000004</v>
      </c>
      <c r="K242" s="1">
        <v>85.88</v>
      </c>
      <c r="L242" s="4">
        <f t="shared" si="9"/>
        <v>363.2724</v>
      </c>
    </row>
    <row r="243" spans="1:12" x14ac:dyDescent="0.3">
      <c r="A243" s="1">
        <v>2017</v>
      </c>
      <c r="B243" s="20">
        <f t="shared" si="10"/>
        <v>42978</v>
      </c>
      <c r="C243" s="1">
        <v>31</v>
      </c>
      <c r="D243" s="1" t="s">
        <v>12</v>
      </c>
      <c r="E243" s="2">
        <v>8.4700000000000006</v>
      </c>
      <c r="F243" s="1" t="s">
        <v>31</v>
      </c>
      <c r="H243" s="21" t="str">
        <f t="shared" si="11"/>
        <v/>
      </c>
      <c r="I243" s="21"/>
      <c r="J243" s="3">
        <v>8.4700000000000006</v>
      </c>
      <c r="K243" s="1">
        <v>71.5</v>
      </c>
      <c r="L243" s="4">
        <f t="shared" si="9"/>
        <v>605.60500000000002</v>
      </c>
    </row>
    <row r="244" spans="1:12" x14ac:dyDescent="0.3">
      <c r="A244" s="1">
        <v>2017</v>
      </c>
      <c r="B244" s="20">
        <f t="shared" si="10"/>
        <v>42978</v>
      </c>
      <c r="C244" s="1">
        <v>32</v>
      </c>
      <c r="D244" s="1" t="s">
        <v>25</v>
      </c>
      <c r="E244" s="2">
        <v>1.43</v>
      </c>
      <c r="F244" s="1" t="s">
        <v>20</v>
      </c>
      <c r="H244" s="21" t="str">
        <f t="shared" si="11"/>
        <v/>
      </c>
      <c r="I244" s="21"/>
      <c r="J244" s="3">
        <v>1.43</v>
      </c>
      <c r="K244" s="1">
        <v>126.97</v>
      </c>
      <c r="L244" s="4">
        <f t="shared" si="9"/>
        <v>181.56709999999998</v>
      </c>
    </row>
    <row r="245" spans="1:12" x14ac:dyDescent="0.3">
      <c r="A245" s="1">
        <v>2017</v>
      </c>
      <c r="B245" s="20">
        <f t="shared" si="10"/>
        <v>42978</v>
      </c>
      <c r="C245" s="1">
        <v>33</v>
      </c>
      <c r="D245" s="1" t="s">
        <v>25</v>
      </c>
      <c r="E245" s="2">
        <v>7.06</v>
      </c>
      <c r="F245" s="1" t="s">
        <v>20</v>
      </c>
      <c r="H245" s="21" t="str">
        <f t="shared" si="11"/>
        <v/>
      </c>
      <c r="I245" s="21"/>
      <c r="J245" s="3">
        <v>7.06</v>
      </c>
      <c r="K245" s="1">
        <v>102.94</v>
      </c>
      <c r="L245" s="4">
        <f t="shared" si="9"/>
        <v>726.75639999999999</v>
      </c>
    </row>
    <row r="246" spans="1:12" x14ac:dyDescent="0.3">
      <c r="A246" s="1">
        <v>2017</v>
      </c>
      <c r="B246" s="20">
        <f t="shared" si="10"/>
        <v>42978</v>
      </c>
      <c r="C246" s="1">
        <v>34</v>
      </c>
      <c r="D246" s="1" t="s">
        <v>12</v>
      </c>
      <c r="E246" s="2">
        <v>5.22</v>
      </c>
      <c r="F246" s="1" t="s">
        <v>31</v>
      </c>
      <c r="H246" s="21" t="str">
        <f t="shared" si="11"/>
        <v/>
      </c>
      <c r="I246" s="21"/>
      <c r="J246" s="3">
        <v>5.22</v>
      </c>
      <c r="K246" s="1">
        <v>81.22</v>
      </c>
      <c r="L246" s="4">
        <f t="shared" si="9"/>
        <v>423.96839999999997</v>
      </c>
    </row>
    <row r="247" spans="1:12" x14ac:dyDescent="0.3">
      <c r="A247" s="1">
        <v>2017</v>
      </c>
      <c r="B247" s="20">
        <f t="shared" si="10"/>
        <v>42978</v>
      </c>
      <c r="C247" s="1">
        <v>35</v>
      </c>
      <c r="D247" s="1" t="s">
        <v>12</v>
      </c>
      <c r="E247" s="2">
        <v>2.91</v>
      </c>
      <c r="F247" s="1" t="s">
        <v>31</v>
      </c>
      <c r="H247" s="21" t="str">
        <f t="shared" si="11"/>
        <v/>
      </c>
      <c r="I247" s="21"/>
      <c r="J247" s="3">
        <v>2.91</v>
      </c>
      <c r="K247" s="1">
        <v>83.21</v>
      </c>
      <c r="L247" s="4">
        <f t="shared" si="9"/>
        <v>242.14109999999999</v>
      </c>
    </row>
    <row r="248" spans="1:12" x14ac:dyDescent="0.3">
      <c r="A248" s="1">
        <v>2017</v>
      </c>
      <c r="B248" s="20">
        <f t="shared" si="10"/>
        <v>42978</v>
      </c>
      <c r="C248" s="1">
        <v>36</v>
      </c>
      <c r="D248" s="1" t="s">
        <v>12</v>
      </c>
      <c r="E248" s="2">
        <v>5.81</v>
      </c>
      <c r="F248" s="1" t="s">
        <v>31</v>
      </c>
      <c r="H248" s="21" t="str">
        <f t="shared" si="11"/>
        <v/>
      </c>
      <c r="I248" s="21"/>
      <c r="J248" s="3">
        <v>5.81</v>
      </c>
      <c r="K248" s="1">
        <v>83.38</v>
      </c>
      <c r="L248" s="4">
        <f t="shared" si="9"/>
        <v>484.43779999999992</v>
      </c>
    </row>
    <row r="249" spans="1:12" x14ac:dyDescent="0.3">
      <c r="A249" s="1">
        <v>2017</v>
      </c>
      <c r="B249" s="20">
        <f t="shared" si="10"/>
        <v>42978</v>
      </c>
      <c r="C249" s="1">
        <v>37</v>
      </c>
      <c r="D249" s="1" t="s">
        <v>12</v>
      </c>
      <c r="E249" s="2">
        <v>4.58</v>
      </c>
      <c r="F249" s="1" t="s">
        <v>31</v>
      </c>
      <c r="H249" s="21" t="str">
        <f t="shared" si="11"/>
        <v/>
      </c>
      <c r="I249" s="21"/>
      <c r="J249" s="3">
        <v>4.58</v>
      </c>
      <c r="K249" s="1">
        <v>79.319999999999993</v>
      </c>
      <c r="L249" s="4">
        <f t="shared" si="9"/>
        <v>363.28559999999999</v>
      </c>
    </row>
    <row r="250" spans="1:12" x14ac:dyDescent="0.3">
      <c r="A250" s="1">
        <v>2017</v>
      </c>
      <c r="B250" s="20">
        <f t="shared" si="10"/>
        <v>42978</v>
      </c>
      <c r="C250" s="1">
        <v>38</v>
      </c>
      <c r="D250" s="1" t="s">
        <v>12</v>
      </c>
      <c r="E250" s="2">
        <v>2.09</v>
      </c>
      <c r="F250" s="1" t="s">
        <v>31</v>
      </c>
      <c r="H250" s="21" t="str">
        <f t="shared" si="11"/>
        <v/>
      </c>
      <c r="I250" s="21"/>
      <c r="J250" s="3">
        <v>2.09</v>
      </c>
      <c r="K250" s="1">
        <v>86.88</v>
      </c>
      <c r="L250" s="4">
        <f t="shared" si="9"/>
        <v>181.57919999999999</v>
      </c>
    </row>
    <row r="251" spans="1:12" x14ac:dyDescent="0.3">
      <c r="A251" s="1">
        <v>2017</v>
      </c>
      <c r="B251" s="20">
        <f t="shared" si="10"/>
        <v>42978</v>
      </c>
      <c r="C251" s="1">
        <v>39</v>
      </c>
      <c r="D251" s="1" t="s">
        <v>12</v>
      </c>
      <c r="E251" s="2">
        <v>4.88</v>
      </c>
      <c r="F251" s="1" t="s">
        <v>31</v>
      </c>
      <c r="H251" s="21" t="str">
        <f t="shared" si="11"/>
        <v/>
      </c>
      <c r="I251" s="21"/>
      <c r="J251" s="3">
        <v>4.88</v>
      </c>
      <c r="K251" s="1">
        <v>86.88</v>
      </c>
      <c r="L251" s="4">
        <f t="shared" si="9"/>
        <v>423.97439999999995</v>
      </c>
    </row>
    <row r="252" spans="1:12" x14ac:dyDescent="0.3">
      <c r="A252" s="1">
        <v>2017</v>
      </c>
      <c r="B252" s="20">
        <f t="shared" si="10"/>
        <v>42978</v>
      </c>
      <c r="C252" s="1">
        <v>40</v>
      </c>
      <c r="D252" s="1" t="s">
        <v>26</v>
      </c>
      <c r="E252" s="2">
        <v>4.01</v>
      </c>
      <c r="F252" s="1" t="s">
        <v>31</v>
      </c>
      <c r="H252" s="21" t="str">
        <f t="shared" si="11"/>
        <v/>
      </c>
      <c r="I252" s="21"/>
      <c r="J252" s="3">
        <v>4.01</v>
      </c>
      <c r="K252" s="1">
        <v>90.6</v>
      </c>
      <c r="L252" s="4">
        <f t="shared" si="9"/>
        <v>363.30599999999998</v>
      </c>
    </row>
    <row r="253" spans="1:12" x14ac:dyDescent="0.3">
      <c r="A253" s="1">
        <v>2017</v>
      </c>
      <c r="B253" s="20">
        <f t="shared" si="10"/>
        <v>42978</v>
      </c>
      <c r="C253" s="1">
        <v>41</v>
      </c>
      <c r="D253" s="1" t="s">
        <v>26</v>
      </c>
      <c r="E253" s="2">
        <v>3.73</v>
      </c>
      <c r="F253" s="1" t="s">
        <v>31</v>
      </c>
      <c r="H253" s="21" t="str">
        <f t="shared" si="11"/>
        <v/>
      </c>
      <c r="I253" s="21"/>
      <c r="J253" s="3">
        <v>3.73</v>
      </c>
      <c r="K253" s="1">
        <v>64.92</v>
      </c>
      <c r="L253" s="4">
        <f t="shared" si="9"/>
        <v>242.1516</v>
      </c>
    </row>
    <row r="254" spans="1:12" x14ac:dyDescent="0.3">
      <c r="A254" s="1">
        <v>2017</v>
      </c>
      <c r="B254" s="20">
        <f t="shared" si="10"/>
        <v>42978</v>
      </c>
      <c r="C254" s="1">
        <v>42</v>
      </c>
      <c r="D254" s="1" t="s">
        <v>26</v>
      </c>
      <c r="E254" s="2">
        <v>6.06</v>
      </c>
      <c r="F254" s="1" t="s">
        <v>31</v>
      </c>
      <c r="H254" s="21" t="str">
        <f t="shared" si="11"/>
        <v/>
      </c>
      <c r="I254" s="21"/>
      <c r="J254" s="3">
        <v>6.06</v>
      </c>
      <c r="K254" s="1">
        <v>79.94</v>
      </c>
      <c r="L254" s="4">
        <f t="shared" si="9"/>
        <v>484.43639999999994</v>
      </c>
    </row>
    <row r="255" spans="1:12" x14ac:dyDescent="0.3">
      <c r="A255" s="1">
        <v>2017</v>
      </c>
      <c r="B255" s="20">
        <f t="shared" si="10"/>
        <v>42978</v>
      </c>
      <c r="C255" s="1">
        <v>43</v>
      </c>
      <c r="D255" s="1" t="s">
        <v>26</v>
      </c>
      <c r="E255" s="2">
        <v>4.58</v>
      </c>
      <c r="F255" s="1" t="s">
        <v>31</v>
      </c>
      <c r="H255" s="21" t="str">
        <f t="shared" si="11"/>
        <v/>
      </c>
      <c r="I255" s="21"/>
      <c r="J255" s="3">
        <v>4.58</v>
      </c>
      <c r="K255" s="1">
        <v>79.319999999999993</v>
      </c>
      <c r="L255" s="4">
        <f t="shared" si="9"/>
        <v>363.28559999999999</v>
      </c>
    </row>
    <row r="256" spans="1:12" x14ac:dyDescent="0.3">
      <c r="A256" s="1">
        <v>2017</v>
      </c>
      <c r="B256" s="20">
        <f t="shared" si="10"/>
        <v>42978</v>
      </c>
      <c r="C256" s="1">
        <v>44</v>
      </c>
      <c r="D256" s="1" t="s">
        <v>26</v>
      </c>
      <c r="E256" s="2">
        <v>2.98</v>
      </c>
      <c r="F256" s="1" t="s">
        <v>31</v>
      </c>
      <c r="H256" s="21" t="str">
        <f t="shared" si="11"/>
        <v/>
      </c>
      <c r="I256" s="21"/>
      <c r="J256" s="3">
        <v>2.98</v>
      </c>
      <c r="K256" s="1">
        <v>81.260000000000005</v>
      </c>
      <c r="L256" s="4">
        <f t="shared" si="9"/>
        <v>242.15480000000002</v>
      </c>
    </row>
    <row r="257" spans="1:12" x14ac:dyDescent="0.3">
      <c r="A257" s="1">
        <v>2017</v>
      </c>
      <c r="B257" s="20">
        <f t="shared" si="10"/>
        <v>42978</v>
      </c>
      <c r="C257" s="1">
        <v>45</v>
      </c>
      <c r="D257" s="1" t="s">
        <v>25</v>
      </c>
      <c r="E257" s="2">
        <v>10.69</v>
      </c>
      <c r="F257" s="1" t="s">
        <v>20</v>
      </c>
      <c r="H257" s="21" t="str">
        <f t="shared" si="11"/>
        <v/>
      </c>
      <c r="I257" s="21"/>
      <c r="J257" s="3">
        <v>10.69</v>
      </c>
      <c r="K257" s="1">
        <v>77.989999999999995</v>
      </c>
      <c r="L257" s="4">
        <f t="shared" si="9"/>
        <v>833.71309999999994</v>
      </c>
    </row>
    <row r="258" spans="1:12" x14ac:dyDescent="0.3">
      <c r="A258" s="1">
        <v>2017</v>
      </c>
      <c r="B258" s="20">
        <f t="shared" si="10"/>
        <v>42978</v>
      </c>
      <c r="C258" s="1">
        <v>46</v>
      </c>
      <c r="D258" s="1" t="s">
        <v>25</v>
      </c>
      <c r="E258" s="2">
        <v>5.86</v>
      </c>
      <c r="F258" s="1" t="s">
        <v>20</v>
      </c>
      <c r="H258" s="21" t="str">
        <f t="shared" si="11"/>
        <v/>
      </c>
      <c r="I258" s="21"/>
      <c r="J258" s="3">
        <v>5.86</v>
      </c>
      <c r="K258" s="1">
        <v>85.36</v>
      </c>
      <c r="L258" s="4">
        <f t="shared" ref="L258:L321" si="12">J258*K258</f>
        <v>500.20960000000002</v>
      </c>
    </row>
    <row r="259" spans="1:12" x14ac:dyDescent="0.3">
      <c r="A259" s="1">
        <v>2017</v>
      </c>
      <c r="B259" s="20">
        <f t="shared" ref="B259:B322" si="13">IF(A259="","",DATE(A259,8,31))</f>
        <v>42978</v>
      </c>
      <c r="C259" s="1">
        <v>47</v>
      </c>
      <c r="D259" s="1" t="s">
        <v>2</v>
      </c>
      <c r="E259" s="2">
        <v>7.69</v>
      </c>
      <c r="F259" s="1" t="s">
        <v>31</v>
      </c>
      <c r="H259" s="21" t="str">
        <f t="shared" ref="H259:H322" si="14">IF(OR(G259="",B259=""),"",DATEDIF(G259,B259,"m"))</f>
        <v/>
      </c>
      <c r="I259" s="21"/>
      <c r="J259" s="3">
        <v>7.69</v>
      </c>
      <c r="K259" s="1">
        <v>54.2</v>
      </c>
      <c r="L259" s="4">
        <f t="shared" si="12"/>
        <v>416.79800000000006</v>
      </c>
    </row>
    <row r="260" spans="1:12" x14ac:dyDescent="0.3">
      <c r="A260" s="1">
        <v>2017</v>
      </c>
      <c r="B260" s="20">
        <f t="shared" si="13"/>
        <v>42978</v>
      </c>
      <c r="C260" s="1">
        <v>48</v>
      </c>
      <c r="D260" s="1" t="s">
        <v>2</v>
      </c>
      <c r="E260" s="2">
        <v>4.1900000000000004</v>
      </c>
      <c r="F260" s="1" t="s">
        <v>31</v>
      </c>
      <c r="H260" s="21" t="str">
        <f t="shared" si="14"/>
        <v/>
      </c>
      <c r="I260" s="21"/>
      <c r="J260" s="3">
        <v>4.1900000000000004</v>
      </c>
      <c r="K260" s="1">
        <v>59.68</v>
      </c>
      <c r="L260" s="4">
        <f t="shared" si="12"/>
        <v>250.05920000000003</v>
      </c>
    </row>
    <row r="261" spans="1:12" x14ac:dyDescent="0.3">
      <c r="A261" s="1">
        <v>2017</v>
      </c>
      <c r="B261" s="20">
        <f t="shared" si="13"/>
        <v>42978</v>
      </c>
      <c r="C261" s="1">
        <v>52</v>
      </c>
      <c r="D261" s="1" t="s">
        <v>26</v>
      </c>
      <c r="E261" s="2">
        <v>8.07</v>
      </c>
      <c r="F261" s="1" t="s">
        <v>32</v>
      </c>
      <c r="H261" s="21" t="str">
        <f t="shared" si="14"/>
        <v/>
      </c>
      <c r="I261" s="21"/>
      <c r="J261" s="3">
        <v>8.07</v>
      </c>
      <c r="K261" s="1">
        <v>61.98</v>
      </c>
      <c r="L261" s="4">
        <f t="shared" si="12"/>
        <v>500.17860000000002</v>
      </c>
    </row>
    <row r="262" spans="1:12" x14ac:dyDescent="0.3">
      <c r="A262" s="1">
        <v>2017</v>
      </c>
      <c r="B262" s="20">
        <f t="shared" si="13"/>
        <v>42978</v>
      </c>
      <c r="C262" s="1">
        <v>53</v>
      </c>
      <c r="D262" s="1" t="s">
        <v>2</v>
      </c>
      <c r="E262" s="2">
        <v>13.43</v>
      </c>
      <c r="F262" s="1" t="s">
        <v>32</v>
      </c>
      <c r="H262" s="21" t="str">
        <f t="shared" si="14"/>
        <v/>
      </c>
      <c r="I262" s="21"/>
      <c r="J262" s="3">
        <v>13.43</v>
      </c>
      <c r="K262" s="1">
        <v>62.08</v>
      </c>
      <c r="L262" s="4">
        <f t="shared" si="12"/>
        <v>833.73439999999994</v>
      </c>
    </row>
    <row r="263" spans="1:12" x14ac:dyDescent="0.3">
      <c r="A263" s="1">
        <v>2017</v>
      </c>
      <c r="B263" s="20">
        <f t="shared" si="13"/>
        <v>42978</v>
      </c>
      <c r="C263" s="1">
        <v>54</v>
      </c>
      <c r="D263" s="1" t="s">
        <v>26</v>
      </c>
      <c r="E263" s="2">
        <v>10.199999999999999</v>
      </c>
      <c r="F263" s="1" t="s">
        <v>32</v>
      </c>
      <c r="H263" s="21" t="str">
        <f t="shared" si="14"/>
        <v/>
      </c>
      <c r="I263" s="21"/>
      <c r="J263" s="3">
        <v>10.199999999999999</v>
      </c>
      <c r="K263" s="1">
        <v>107.71</v>
      </c>
      <c r="L263" s="4">
        <f t="shared" si="12"/>
        <v>1098.6419999999998</v>
      </c>
    </row>
    <row r="264" spans="1:12" x14ac:dyDescent="0.3">
      <c r="A264" s="1">
        <v>2017</v>
      </c>
      <c r="B264" s="20">
        <f t="shared" si="13"/>
        <v>42978</v>
      </c>
      <c r="C264" s="1">
        <v>55</v>
      </c>
      <c r="D264" s="1" t="s">
        <v>26</v>
      </c>
      <c r="E264" s="2">
        <v>4.22</v>
      </c>
      <c r="F264" s="1" t="s">
        <v>32</v>
      </c>
      <c r="H264" s="21" t="str">
        <f t="shared" si="14"/>
        <v/>
      </c>
      <c r="I264" s="21"/>
      <c r="J264" s="3">
        <v>4.22</v>
      </c>
      <c r="K264" s="1">
        <v>97.62</v>
      </c>
      <c r="L264" s="4">
        <f t="shared" si="12"/>
        <v>411.95639999999997</v>
      </c>
    </row>
    <row r="265" spans="1:12" x14ac:dyDescent="0.3">
      <c r="A265" s="1">
        <v>2017</v>
      </c>
      <c r="B265" s="20">
        <f t="shared" si="13"/>
        <v>42978</v>
      </c>
      <c r="C265" s="1">
        <v>56</v>
      </c>
      <c r="D265" s="1" t="s">
        <v>26</v>
      </c>
      <c r="E265" s="2">
        <v>10.37</v>
      </c>
      <c r="F265" s="1" t="s">
        <v>32</v>
      </c>
      <c r="H265" s="21" t="str">
        <f t="shared" si="14"/>
        <v/>
      </c>
      <c r="I265" s="21"/>
      <c r="J265" s="3">
        <v>10.37</v>
      </c>
      <c r="K265" s="1">
        <v>105.95</v>
      </c>
      <c r="L265" s="4">
        <f t="shared" si="12"/>
        <v>1098.7014999999999</v>
      </c>
    </row>
    <row r="266" spans="1:12" x14ac:dyDescent="0.3">
      <c r="A266" s="1">
        <v>2017</v>
      </c>
      <c r="B266" s="20">
        <f t="shared" si="13"/>
        <v>42978</v>
      </c>
      <c r="C266" s="1">
        <v>57</v>
      </c>
      <c r="D266" s="1" t="s">
        <v>26</v>
      </c>
      <c r="E266" s="2">
        <v>11.04</v>
      </c>
      <c r="F266" s="1" t="s">
        <v>32</v>
      </c>
      <c r="H266" s="21" t="str">
        <f t="shared" si="14"/>
        <v/>
      </c>
      <c r="I266" s="21"/>
      <c r="J266" s="3">
        <v>11.04</v>
      </c>
      <c r="K266" s="1">
        <v>99.54</v>
      </c>
      <c r="L266" s="4">
        <f t="shared" si="12"/>
        <v>1098.9215999999999</v>
      </c>
    </row>
    <row r="267" spans="1:12" x14ac:dyDescent="0.3">
      <c r="A267" s="1">
        <v>2017</v>
      </c>
      <c r="B267" s="20">
        <f t="shared" si="13"/>
        <v>42978</v>
      </c>
      <c r="C267" s="1">
        <v>59</v>
      </c>
      <c r="D267" s="1" t="s">
        <v>26</v>
      </c>
      <c r="E267" s="2">
        <v>6.59</v>
      </c>
      <c r="F267" s="1" t="s">
        <v>32</v>
      </c>
      <c r="H267" s="21" t="str">
        <f t="shared" si="14"/>
        <v/>
      </c>
      <c r="I267" s="21"/>
      <c r="J267" s="3">
        <v>6.59</v>
      </c>
      <c r="K267" s="1">
        <v>63.25</v>
      </c>
      <c r="L267" s="4">
        <f t="shared" si="12"/>
        <v>416.8175</v>
      </c>
    </row>
    <row r="268" spans="1:12" x14ac:dyDescent="0.3">
      <c r="A268" s="1">
        <v>2017</v>
      </c>
      <c r="B268" s="20">
        <f t="shared" si="13"/>
        <v>42978</v>
      </c>
      <c r="C268" s="1">
        <v>60</v>
      </c>
      <c r="D268" s="1" t="s">
        <v>26</v>
      </c>
      <c r="E268" s="2">
        <v>6.79</v>
      </c>
      <c r="F268" s="1" t="s">
        <v>32</v>
      </c>
      <c r="H268" s="21" t="str">
        <f t="shared" si="14"/>
        <v/>
      </c>
      <c r="I268" s="21"/>
      <c r="J268" s="3">
        <v>6.79</v>
      </c>
      <c r="K268" s="1">
        <v>61.39</v>
      </c>
      <c r="L268" s="4">
        <f t="shared" si="12"/>
        <v>416.8381</v>
      </c>
    </row>
    <row r="269" spans="1:12" x14ac:dyDescent="0.3">
      <c r="A269" s="1">
        <v>2017</v>
      </c>
      <c r="B269" s="20">
        <f t="shared" si="13"/>
        <v>42978</v>
      </c>
      <c r="C269" s="1">
        <v>61</v>
      </c>
      <c r="D269" s="1" t="s">
        <v>2</v>
      </c>
      <c r="E269" s="2">
        <v>0.9</v>
      </c>
      <c r="F269" s="1" t="s">
        <v>32</v>
      </c>
      <c r="H269" s="21" t="str">
        <f t="shared" si="14"/>
        <v/>
      </c>
      <c r="I269" s="21"/>
      <c r="J269" s="3">
        <v>0.9</v>
      </c>
      <c r="K269" s="1">
        <v>79.97</v>
      </c>
      <c r="L269" s="4">
        <f t="shared" si="12"/>
        <v>71.972999999999999</v>
      </c>
    </row>
    <row r="270" spans="1:12" x14ac:dyDescent="0.3">
      <c r="A270" s="1">
        <v>2017</v>
      </c>
      <c r="B270" s="20">
        <f t="shared" si="13"/>
        <v>42978</v>
      </c>
      <c r="C270" s="1">
        <v>62</v>
      </c>
      <c r="D270" s="1" t="s">
        <v>2</v>
      </c>
      <c r="E270" s="2">
        <v>9.1300000000000008</v>
      </c>
      <c r="F270" s="1" t="s">
        <v>32</v>
      </c>
      <c r="H270" s="21" t="str">
        <f t="shared" si="14"/>
        <v/>
      </c>
      <c r="I270" s="21"/>
      <c r="J270" s="3">
        <v>9.1300000000000008</v>
      </c>
      <c r="K270" s="1">
        <v>67.13</v>
      </c>
      <c r="L270" s="4">
        <f t="shared" si="12"/>
        <v>612.89689999999996</v>
      </c>
    </row>
    <row r="271" spans="1:12" x14ac:dyDescent="0.3">
      <c r="A271" s="1">
        <v>2017</v>
      </c>
      <c r="B271" s="20">
        <f t="shared" si="13"/>
        <v>42978</v>
      </c>
      <c r="C271" s="1">
        <v>63</v>
      </c>
      <c r="D271" s="1" t="s">
        <v>2</v>
      </c>
      <c r="E271" s="2">
        <v>7.8</v>
      </c>
      <c r="F271" s="1" t="s">
        <v>34</v>
      </c>
      <c r="H271" s="21" t="str">
        <f t="shared" si="14"/>
        <v/>
      </c>
      <c r="I271" s="21"/>
      <c r="J271" s="3">
        <v>7.8</v>
      </c>
      <c r="K271" s="1">
        <v>100.19</v>
      </c>
      <c r="L271" s="4">
        <f t="shared" si="12"/>
        <v>781.48199999999997</v>
      </c>
    </row>
    <row r="272" spans="1:12" x14ac:dyDescent="0.3">
      <c r="A272" s="1">
        <v>2017</v>
      </c>
      <c r="B272" s="20">
        <f t="shared" si="13"/>
        <v>42978</v>
      </c>
      <c r="C272" s="1">
        <v>64</v>
      </c>
      <c r="D272" s="1" t="s">
        <v>2</v>
      </c>
      <c r="E272" s="2">
        <v>12.95</v>
      </c>
      <c r="F272" s="1" t="s">
        <v>34</v>
      </c>
      <c r="H272" s="21" t="str">
        <f t="shared" si="14"/>
        <v/>
      </c>
      <c r="I272" s="21"/>
      <c r="J272" s="3">
        <v>12.95</v>
      </c>
      <c r="K272" s="1">
        <v>93.75</v>
      </c>
      <c r="L272" s="4">
        <f t="shared" si="12"/>
        <v>1214.0625</v>
      </c>
    </row>
    <row r="273" spans="1:12" x14ac:dyDescent="0.3">
      <c r="A273" s="1">
        <v>2017</v>
      </c>
      <c r="B273" s="20">
        <f t="shared" si="13"/>
        <v>42978</v>
      </c>
      <c r="C273" s="1">
        <v>65</v>
      </c>
      <c r="D273" s="1" t="s">
        <v>2</v>
      </c>
      <c r="E273" s="2">
        <v>8.66</v>
      </c>
      <c r="F273" s="1" t="s">
        <v>34</v>
      </c>
      <c r="H273" s="21" t="str">
        <f t="shared" si="14"/>
        <v/>
      </c>
      <c r="I273" s="21"/>
      <c r="J273" s="3">
        <v>8.66</v>
      </c>
      <c r="K273" s="1">
        <v>98.13</v>
      </c>
      <c r="L273" s="4">
        <f t="shared" si="12"/>
        <v>849.80579999999998</v>
      </c>
    </row>
    <row r="274" spans="1:12" x14ac:dyDescent="0.3">
      <c r="A274" s="1">
        <v>2017</v>
      </c>
      <c r="B274" s="20">
        <f t="shared" si="13"/>
        <v>42978</v>
      </c>
      <c r="C274" s="1">
        <v>66</v>
      </c>
      <c r="D274" s="1" t="s">
        <v>2</v>
      </c>
      <c r="E274" s="2">
        <v>9.23</v>
      </c>
      <c r="F274" s="1" t="s">
        <v>33</v>
      </c>
      <c r="H274" s="21" t="str">
        <f t="shared" si="14"/>
        <v/>
      </c>
      <c r="I274" s="21"/>
      <c r="J274" s="3">
        <v>9.23</v>
      </c>
      <c r="K274" s="1">
        <v>92.07</v>
      </c>
      <c r="L274" s="4">
        <f t="shared" si="12"/>
        <v>849.80610000000001</v>
      </c>
    </row>
    <row r="275" spans="1:12" x14ac:dyDescent="0.3">
      <c r="A275" s="1">
        <v>2017</v>
      </c>
      <c r="B275" s="20">
        <f t="shared" si="13"/>
        <v>42978</v>
      </c>
      <c r="C275" s="1">
        <v>67</v>
      </c>
      <c r="D275" s="1" t="s">
        <v>2</v>
      </c>
      <c r="E275" s="2">
        <v>13.83</v>
      </c>
      <c r="F275" s="1" t="s">
        <v>33</v>
      </c>
      <c r="H275" s="21" t="str">
        <f t="shared" si="14"/>
        <v/>
      </c>
      <c r="I275" s="21"/>
      <c r="J275" s="3">
        <v>13.83</v>
      </c>
      <c r="K275" s="1">
        <v>87.79</v>
      </c>
      <c r="L275" s="4">
        <f t="shared" si="12"/>
        <v>1214.1357</v>
      </c>
    </row>
    <row r="276" spans="1:12" x14ac:dyDescent="0.3">
      <c r="A276" s="1">
        <v>2017</v>
      </c>
      <c r="B276" s="20">
        <f t="shared" si="13"/>
        <v>42978</v>
      </c>
      <c r="C276" s="1">
        <v>69</v>
      </c>
      <c r="D276" s="1" t="s">
        <v>2</v>
      </c>
      <c r="E276" s="2">
        <v>7.18</v>
      </c>
      <c r="F276" s="1" t="s">
        <v>33</v>
      </c>
      <c r="H276" s="21" t="str">
        <f t="shared" si="14"/>
        <v/>
      </c>
      <c r="I276" s="21"/>
      <c r="J276" s="3">
        <v>7.18</v>
      </c>
      <c r="K276" s="1">
        <v>84.54</v>
      </c>
      <c r="L276" s="4">
        <f t="shared" si="12"/>
        <v>606.99720000000002</v>
      </c>
    </row>
    <row r="277" spans="1:12" x14ac:dyDescent="0.3">
      <c r="A277" s="1">
        <v>2017</v>
      </c>
      <c r="B277" s="20">
        <f t="shared" si="13"/>
        <v>42978</v>
      </c>
      <c r="C277" s="1">
        <v>73</v>
      </c>
      <c r="D277" s="1" t="s">
        <v>2</v>
      </c>
      <c r="E277" s="2">
        <v>5.8</v>
      </c>
      <c r="F277" s="1" t="s">
        <v>32</v>
      </c>
      <c r="H277" s="21" t="str">
        <f t="shared" si="14"/>
        <v/>
      </c>
      <c r="I277" s="21"/>
      <c r="J277" s="3">
        <v>5.8</v>
      </c>
      <c r="K277" s="1">
        <v>83.82</v>
      </c>
      <c r="L277" s="4">
        <f t="shared" si="12"/>
        <v>486.15599999999995</v>
      </c>
    </row>
    <row r="278" spans="1:12" x14ac:dyDescent="0.3">
      <c r="A278" s="1">
        <v>2017</v>
      </c>
      <c r="B278" s="20">
        <f t="shared" si="13"/>
        <v>42978</v>
      </c>
      <c r="C278" s="1">
        <v>74</v>
      </c>
      <c r="D278" s="1" t="s">
        <v>2</v>
      </c>
      <c r="E278" s="2">
        <v>8.66</v>
      </c>
      <c r="F278" s="1" t="s">
        <v>32</v>
      </c>
      <c r="H278" s="21" t="str">
        <f t="shared" si="14"/>
        <v/>
      </c>
      <c r="I278" s="21"/>
      <c r="J278" s="3">
        <v>8.66</v>
      </c>
      <c r="K278" s="1">
        <v>90.24</v>
      </c>
      <c r="L278" s="4">
        <f t="shared" si="12"/>
        <v>781.47839999999997</v>
      </c>
    </row>
    <row r="279" spans="1:12" x14ac:dyDescent="0.3">
      <c r="A279" s="1">
        <v>2017</v>
      </c>
      <c r="B279" s="20">
        <f t="shared" si="13"/>
        <v>42978</v>
      </c>
      <c r="C279" s="1">
        <v>75</v>
      </c>
      <c r="D279" s="1" t="s">
        <v>2</v>
      </c>
      <c r="E279" s="2">
        <v>5.63</v>
      </c>
      <c r="F279" s="1" t="s">
        <v>32</v>
      </c>
      <c r="H279" s="21" t="str">
        <f t="shared" si="14"/>
        <v/>
      </c>
      <c r="I279" s="21"/>
      <c r="J279" s="3">
        <v>5.63</v>
      </c>
      <c r="K279" s="1">
        <v>92.53</v>
      </c>
      <c r="L279" s="4">
        <f t="shared" si="12"/>
        <v>520.94389999999999</v>
      </c>
    </row>
    <row r="280" spans="1:12" x14ac:dyDescent="0.3">
      <c r="A280" s="1">
        <v>2017</v>
      </c>
      <c r="B280" s="20">
        <f t="shared" si="13"/>
        <v>42978</v>
      </c>
      <c r="C280" s="1">
        <v>76</v>
      </c>
      <c r="D280" s="1" t="s">
        <v>2</v>
      </c>
      <c r="E280" s="2">
        <v>3.21</v>
      </c>
      <c r="F280" s="1" t="s">
        <v>32</v>
      </c>
      <c r="H280" s="21" t="str">
        <f t="shared" si="14"/>
        <v/>
      </c>
      <c r="I280" s="21"/>
      <c r="J280" s="3">
        <v>3.21</v>
      </c>
      <c r="K280" s="1">
        <v>81.13</v>
      </c>
      <c r="L280" s="4">
        <f t="shared" si="12"/>
        <v>260.4273</v>
      </c>
    </row>
    <row r="281" spans="1:12" x14ac:dyDescent="0.3">
      <c r="A281" s="1">
        <v>2017</v>
      </c>
      <c r="B281" s="20">
        <f t="shared" si="13"/>
        <v>42978</v>
      </c>
      <c r="C281" s="1">
        <v>77</v>
      </c>
      <c r="D281" s="1" t="s">
        <v>2</v>
      </c>
      <c r="E281" s="2">
        <v>9.0299999999999994</v>
      </c>
      <c r="F281" s="1" t="s">
        <v>32</v>
      </c>
      <c r="H281" s="21" t="str">
        <f t="shared" si="14"/>
        <v/>
      </c>
      <c r="I281" s="21"/>
      <c r="J281" s="3">
        <v>9.0299999999999994</v>
      </c>
      <c r="K281" s="1">
        <v>100.97</v>
      </c>
      <c r="L281" s="4">
        <f t="shared" si="12"/>
        <v>911.75909999999988</v>
      </c>
    </row>
    <row r="282" spans="1:12" x14ac:dyDescent="0.3">
      <c r="A282" s="1">
        <v>2017</v>
      </c>
      <c r="B282" s="20">
        <f t="shared" si="13"/>
        <v>42978</v>
      </c>
      <c r="C282" s="1">
        <v>78</v>
      </c>
      <c r="D282" s="1" t="s">
        <v>2</v>
      </c>
      <c r="E282" s="2">
        <v>3.88</v>
      </c>
      <c r="F282" s="1" t="s">
        <v>32</v>
      </c>
      <c r="H282" s="21" t="str">
        <f t="shared" si="14"/>
        <v/>
      </c>
      <c r="I282" s="21"/>
      <c r="J282" s="3">
        <v>3.88</v>
      </c>
      <c r="K282" s="1">
        <v>100.8</v>
      </c>
      <c r="L282" s="4">
        <f t="shared" si="12"/>
        <v>391.10399999999998</v>
      </c>
    </row>
    <row r="283" spans="1:12" x14ac:dyDescent="0.3">
      <c r="A283" s="1">
        <v>2017</v>
      </c>
      <c r="B283" s="20">
        <f t="shared" si="13"/>
        <v>42978</v>
      </c>
      <c r="C283" s="1">
        <v>79</v>
      </c>
      <c r="D283" s="1" t="s">
        <v>2</v>
      </c>
      <c r="E283" s="2">
        <v>5.55</v>
      </c>
      <c r="F283" s="1" t="s">
        <v>34</v>
      </c>
      <c r="H283" s="21" t="str">
        <f t="shared" si="14"/>
        <v/>
      </c>
      <c r="I283" s="21"/>
      <c r="J283" s="3">
        <v>5.55</v>
      </c>
      <c r="K283" s="1">
        <v>83.76</v>
      </c>
      <c r="L283" s="4">
        <f t="shared" si="12"/>
        <v>464.86799999999999</v>
      </c>
    </row>
    <row r="284" spans="1:12" x14ac:dyDescent="0.3">
      <c r="A284" s="1">
        <v>2017</v>
      </c>
      <c r="B284" s="20">
        <f t="shared" si="13"/>
        <v>42978</v>
      </c>
      <c r="C284" s="1">
        <v>80</v>
      </c>
      <c r="D284" s="1" t="s">
        <v>2</v>
      </c>
      <c r="E284" s="2">
        <v>7.3</v>
      </c>
      <c r="F284" s="1" t="s">
        <v>32</v>
      </c>
      <c r="H284" s="21" t="str">
        <f t="shared" si="14"/>
        <v/>
      </c>
      <c r="I284" s="21"/>
      <c r="J284" s="3">
        <v>7.3</v>
      </c>
      <c r="K284" s="1">
        <v>79.599999999999994</v>
      </c>
      <c r="L284" s="4">
        <f t="shared" si="12"/>
        <v>581.07999999999993</v>
      </c>
    </row>
    <row r="285" spans="1:12" x14ac:dyDescent="0.3">
      <c r="A285" s="1">
        <v>2017</v>
      </c>
      <c r="B285" s="20">
        <f t="shared" si="13"/>
        <v>42978</v>
      </c>
      <c r="C285" s="1">
        <v>81</v>
      </c>
      <c r="D285" s="1" t="s">
        <v>2</v>
      </c>
      <c r="E285" s="2">
        <v>5.89</v>
      </c>
      <c r="F285" s="1" t="s">
        <v>32</v>
      </c>
      <c r="H285" s="21" t="str">
        <f t="shared" si="14"/>
        <v/>
      </c>
      <c r="I285" s="21"/>
      <c r="J285" s="3">
        <v>5.89</v>
      </c>
      <c r="K285" s="1">
        <v>98.66</v>
      </c>
      <c r="L285" s="4">
        <f t="shared" si="12"/>
        <v>581.10739999999998</v>
      </c>
    </row>
    <row r="286" spans="1:12" x14ac:dyDescent="0.3">
      <c r="A286" s="1">
        <v>2017</v>
      </c>
      <c r="B286" s="20">
        <f t="shared" si="13"/>
        <v>42978</v>
      </c>
      <c r="C286" s="1">
        <v>82</v>
      </c>
      <c r="D286" s="1" t="s">
        <v>2</v>
      </c>
      <c r="E286" s="2">
        <v>1</v>
      </c>
      <c r="F286" s="1" t="s">
        <v>32</v>
      </c>
      <c r="H286" s="21" t="str">
        <f t="shared" si="14"/>
        <v/>
      </c>
      <c r="I286" s="21"/>
      <c r="J286" s="3">
        <v>1</v>
      </c>
      <c r="K286" s="1">
        <v>64.489999999999995</v>
      </c>
      <c r="L286" s="4">
        <f t="shared" si="12"/>
        <v>64.489999999999995</v>
      </c>
    </row>
    <row r="287" spans="1:12" x14ac:dyDescent="0.3">
      <c r="A287" s="1">
        <v>2017</v>
      </c>
      <c r="B287" s="20">
        <f t="shared" si="13"/>
        <v>42978</v>
      </c>
      <c r="C287" s="1">
        <v>82</v>
      </c>
      <c r="D287" s="1" t="s">
        <v>2</v>
      </c>
      <c r="E287" s="2">
        <v>4.46</v>
      </c>
      <c r="F287" s="1" t="s">
        <v>32</v>
      </c>
      <c r="H287" s="21" t="str">
        <f t="shared" si="14"/>
        <v/>
      </c>
      <c r="I287" s="21"/>
      <c r="J287" s="3">
        <v>4.46</v>
      </c>
      <c r="K287" s="1">
        <v>104.3</v>
      </c>
      <c r="L287" s="4">
        <f t="shared" si="12"/>
        <v>465.178</v>
      </c>
    </row>
    <row r="288" spans="1:12" x14ac:dyDescent="0.3">
      <c r="A288" s="1">
        <v>2017</v>
      </c>
      <c r="B288" s="20">
        <f t="shared" si="13"/>
        <v>42978</v>
      </c>
      <c r="C288" s="1">
        <v>83</v>
      </c>
      <c r="D288" s="1" t="s">
        <v>2</v>
      </c>
      <c r="E288" s="2">
        <v>7.86</v>
      </c>
      <c r="F288" s="1" t="s">
        <v>31</v>
      </c>
      <c r="H288" s="21" t="str">
        <f t="shared" si="14"/>
        <v/>
      </c>
      <c r="I288" s="21"/>
      <c r="J288" s="3">
        <v>7.86</v>
      </c>
      <c r="K288" s="1">
        <v>63.64</v>
      </c>
      <c r="L288" s="4">
        <f t="shared" si="12"/>
        <v>500.21040000000005</v>
      </c>
    </row>
    <row r="289" spans="1:12" x14ac:dyDescent="0.3">
      <c r="A289" s="1">
        <v>2017</v>
      </c>
      <c r="B289" s="20">
        <f t="shared" si="13"/>
        <v>42978</v>
      </c>
      <c r="C289" s="1">
        <v>84</v>
      </c>
      <c r="D289" s="1" t="s">
        <v>2</v>
      </c>
      <c r="E289" s="2">
        <v>8.4600000000000009</v>
      </c>
      <c r="F289" s="1" t="s">
        <v>31</v>
      </c>
      <c r="H289" s="21" t="str">
        <f t="shared" si="14"/>
        <v/>
      </c>
      <c r="I289" s="21"/>
      <c r="J289" s="3">
        <v>8.4600000000000009</v>
      </c>
      <c r="K289" s="1">
        <v>59.13</v>
      </c>
      <c r="L289" s="4">
        <f t="shared" si="12"/>
        <v>500.23980000000006</v>
      </c>
    </row>
    <row r="290" spans="1:12" x14ac:dyDescent="0.3">
      <c r="A290" s="1">
        <v>2017</v>
      </c>
      <c r="B290" s="20">
        <f t="shared" si="13"/>
        <v>42978</v>
      </c>
      <c r="C290" s="1">
        <v>85</v>
      </c>
      <c r="D290" s="1" t="s">
        <v>2</v>
      </c>
      <c r="E290" s="2">
        <v>3.31</v>
      </c>
      <c r="F290" s="1" t="s">
        <v>31</v>
      </c>
      <c r="H290" s="21" t="str">
        <f t="shared" si="14"/>
        <v/>
      </c>
      <c r="I290" s="21"/>
      <c r="J290" s="3">
        <v>3.31</v>
      </c>
      <c r="K290" s="1">
        <v>75.55</v>
      </c>
      <c r="L290" s="4">
        <f t="shared" si="12"/>
        <v>250.07049999999998</v>
      </c>
    </row>
    <row r="291" spans="1:12" x14ac:dyDescent="0.3">
      <c r="A291" s="1">
        <v>2017</v>
      </c>
      <c r="B291" s="20">
        <f t="shared" si="13"/>
        <v>42978</v>
      </c>
      <c r="C291" s="1">
        <v>86</v>
      </c>
      <c r="D291" s="1" t="s">
        <v>2</v>
      </c>
      <c r="E291" s="2">
        <v>2.6</v>
      </c>
      <c r="F291" s="1" t="s">
        <v>31</v>
      </c>
      <c r="H291" s="21" t="str">
        <f t="shared" si="14"/>
        <v/>
      </c>
      <c r="I291" s="21"/>
      <c r="J291" s="3">
        <v>2.6</v>
      </c>
      <c r="K291" s="1">
        <v>64.510000000000005</v>
      </c>
      <c r="L291" s="4">
        <f t="shared" si="12"/>
        <v>167.72600000000003</v>
      </c>
    </row>
    <row r="292" spans="1:12" x14ac:dyDescent="0.3">
      <c r="A292" s="1">
        <v>2017</v>
      </c>
      <c r="B292" s="20">
        <f t="shared" si="13"/>
        <v>42978</v>
      </c>
      <c r="C292" s="1">
        <v>87</v>
      </c>
      <c r="D292" s="1" t="s">
        <v>2</v>
      </c>
      <c r="E292" s="2">
        <v>20.41</v>
      </c>
      <c r="F292" s="1" t="s">
        <v>31</v>
      </c>
      <c r="H292" s="21" t="str">
        <f t="shared" si="14"/>
        <v/>
      </c>
      <c r="I292" s="21"/>
      <c r="J292" s="3">
        <v>20.41</v>
      </c>
      <c r="K292" s="1">
        <v>91.07</v>
      </c>
      <c r="L292" s="4">
        <f t="shared" si="12"/>
        <v>1858.7386999999999</v>
      </c>
    </row>
    <row r="293" spans="1:12" x14ac:dyDescent="0.3">
      <c r="A293" s="1">
        <v>2017</v>
      </c>
      <c r="B293" s="20">
        <f t="shared" si="13"/>
        <v>42978</v>
      </c>
      <c r="C293" s="1">
        <v>88</v>
      </c>
      <c r="D293" s="1" t="s">
        <v>12</v>
      </c>
      <c r="E293" s="2">
        <v>4.16</v>
      </c>
      <c r="F293" s="1" t="s">
        <v>31</v>
      </c>
      <c r="H293" s="21" t="str">
        <f t="shared" si="14"/>
        <v/>
      </c>
      <c r="I293" s="21"/>
      <c r="J293" s="3">
        <v>4.16</v>
      </c>
      <c r="K293" s="1">
        <v>72.77</v>
      </c>
      <c r="L293" s="4">
        <f t="shared" si="12"/>
        <v>302.72320000000002</v>
      </c>
    </row>
    <row r="294" spans="1:12" x14ac:dyDescent="0.3">
      <c r="A294" s="1">
        <v>2017</v>
      </c>
      <c r="B294" s="20">
        <f t="shared" si="13"/>
        <v>42978</v>
      </c>
      <c r="C294" s="1">
        <v>89</v>
      </c>
      <c r="D294" s="1" t="s">
        <v>12</v>
      </c>
      <c r="E294" s="2">
        <v>3.3</v>
      </c>
      <c r="F294" s="1" t="s">
        <v>31</v>
      </c>
      <c r="H294" s="21" t="str">
        <f t="shared" si="14"/>
        <v/>
      </c>
      <c r="I294" s="21"/>
      <c r="J294" s="3">
        <v>3.3</v>
      </c>
      <c r="K294" s="1">
        <v>73.38</v>
      </c>
      <c r="L294" s="4">
        <f t="shared" si="12"/>
        <v>242.15399999999997</v>
      </c>
    </row>
    <row r="295" spans="1:12" x14ac:dyDescent="0.3">
      <c r="A295" s="1">
        <v>2017</v>
      </c>
      <c r="B295" s="20">
        <f t="shared" si="13"/>
        <v>42978</v>
      </c>
      <c r="C295" s="1">
        <v>90</v>
      </c>
      <c r="D295" s="1" t="s">
        <v>12</v>
      </c>
      <c r="E295" s="2">
        <v>9.75</v>
      </c>
      <c r="F295" s="1" t="s">
        <v>31</v>
      </c>
      <c r="H295" s="21" t="str">
        <f t="shared" si="14"/>
        <v/>
      </c>
      <c r="I295" s="21"/>
      <c r="J295" s="3">
        <v>9.75</v>
      </c>
      <c r="K295" s="1">
        <v>87.34</v>
      </c>
      <c r="L295" s="4">
        <f t="shared" si="12"/>
        <v>851.56500000000005</v>
      </c>
    </row>
    <row r="296" spans="1:12" x14ac:dyDescent="0.3">
      <c r="A296" s="1">
        <v>2017</v>
      </c>
      <c r="B296" s="20">
        <f t="shared" si="13"/>
        <v>42978</v>
      </c>
      <c r="C296" s="1">
        <v>91</v>
      </c>
      <c r="D296" s="1" t="s">
        <v>25</v>
      </c>
      <c r="E296" s="2">
        <v>25.94</v>
      </c>
      <c r="F296" s="1" t="s">
        <v>20</v>
      </c>
      <c r="H296" s="21" t="str">
        <f t="shared" si="14"/>
        <v/>
      </c>
      <c r="I296" s="21"/>
      <c r="J296" s="3">
        <v>25.94</v>
      </c>
      <c r="K296" s="1">
        <v>141.13</v>
      </c>
      <c r="L296" s="4">
        <f t="shared" si="12"/>
        <v>3660.9122000000002</v>
      </c>
    </row>
    <row r="297" spans="1:12" x14ac:dyDescent="0.3">
      <c r="A297" s="1">
        <v>2018</v>
      </c>
      <c r="B297" s="20">
        <f t="shared" si="13"/>
        <v>43343</v>
      </c>
      <c r="C297" s="1">
        <v>1</v>
      </c>
      <c r="D297" s="1" t="s">
        <v>25</v>
      </c>
      <c r="E297" s="2">
        <v>16.64</v>
      </c>
      <c r="F297" s="1" t="s">
        <v>19</v>
      </c>
      <c r="H297" s="21" t="str">
        <f t="shared" si="14"/>
        <v/>
      </c>
      <c r="I297" s="21"/>
      <c r="J297" s="3">
        <v>16.64</v>
      </c>
      <c r="K297" s="1">
        <v>99.3</v>
      </c>
      <c r="L297" s="4">
        <f t="shared" si="12"/>
        <v>1652.3520000000001</v>
      </c>
    </row>
    <row r="298" spans="1:12" x14ac:dyDescent="0.3">
      <c r="A298" s="1">
        <v>2018</v>
      </c>
      <c r="B298" s="20">
        <f t="shared" si="13"/>
        <v>43343</v>
      </c>
      <c r="C298" s="1">
        <v>2</v>
      </c>
      <c r="D298" s="1" t="s">
        <v>25</v>
      </c>
      <c r="E298" s="2">
        <v>24.52</v>
      </c>
      <c r="F298" s="1" t="s">
        <v>19</v>
      </c>
      <c r="H298" s="21" t="str">
        <f t="shared" si="14"/>
        <v/>
      </c>
      <c r="I298" s="21"/>
      <c r="J298" s="3">
        <v>24.52</v>
      </c>
      <c r="K298" s="1">
        <v>99.65</v>
      </c>
      <c r="L298" s="4">
        <f t="shared" si="12"/>
        <v>2443.4180000000001</v>
      </c>
    </row>
    <row r="299" spans="1:12" x14ac:dyDescent="0.3">
      <c r="A299" s="1">
        <v>2018</v>
      </c>
      <c r="B299" s="20">
        <f t="shared" si="13"/>
        <v>43343</v>
      </c>
      <c r="C299" s="1">
        <v>3</v>
      </c>
      <c r="D299" s="1" t="s">
        <v>24</v>
      </c>
      <c r="E299" s="2">
        <v>10.58</v>
      </c>
      <c r="F299" s="1" t="s">
        <v>33</v>
      </c>
      <c r="H299" s="21" t="str">
        <f t="shared" si="14"/>
        <v/>
      </c>
      <c r="I299" s="21"/>
      <c r="J299" s="3">
        <v>10.58</v>
      </c>
      <c r="K299" s="1">
        <v>66.31</v>
      </c>
      <c r="L299" s="4">
        <f t="shared" si="12"/>
        <v>701.5598</v>
      </c>
    </row>
    <row r="300" spans="1:12" x14ac:dyDescent="0.3">
      <c r="A300" s="1">
        <v>2018</v>
      </c>
      <c r="B300" s="20">
        <f t="shared" si="13"/>
        <v>43343</v>
      </c>
      <c r="C300" s="1">
        <v>4</v>
      </c>
      <c r="D300" s="1" t="s">
        <v>24</v>
      </c>
      <c r="E300" s="2">
        <v>9.76</v>
      </c>
      <c r="F300" s="1" t="s">
        <v>33</v>
      </c>
      <c r="H300" s="21" t="str">
        <f t="shared" si="14"/>
        <v/>
      </c>
      <c r="I300" s="21"/>
      <c r="J300" s="3">
        <v>9.76</v>
      </c>
      <c r="K300" s="1">
        <v>82.16</v>
      </c>
      <c r="L300" s="4">
        <f t="shared" si="12"/>
        <v>801.88159999999993</v>
      </c>
    </row>
    <row r="301" spans="1:12" x14ac:dyDescent="0.3">
      <c r="A301" s="1">
        <v>2018</v>
      </c>
      <c r="B301" s="20">
        <f t="shared" si="13"/>
        <v>43343</v>
      </c>
      <c r="C301" s="1">
        <v>5</v>
      </c>
      <c r="D301" s="1" t="s">
        <v>2</v>
      </c>
      <c r="E301" s="2">
        <v>12.65</v>
      </c>
      <c r="F301" s="1" t="s">
        <v>33</v>
      </c>
      <c r="H301" s="21" t="str">
        <f t="shared" si="14"/>
        <v/>
      </c>
      <c r="I301" s="21"/>
      <c r="J301" s="3">
        <v>12.65</v>
      </c>
      <c r="K301" s="1">
        <v>57.42</v>
      </c>
      <c r="L301" s="4">
        <f t="shared" si="12"/>
        <v>726.36300000000006</v>
      </c>
    </row>
    <row r="302" spans="1:12" x14ac:dyDescent="0.3">
      <c r="A302" s="1">
        <v>2018</v>
      </c>
      <c r="B302" s="20">
        <f t="shared" si="13"/>
        <v>43343</v>
      </c>
      <c r="C302" s="1">
        <v>6</v>
      </c>
      <c r="D302" s="1" t="s">
        <v>2</v>
      </c>
      <c r="E302" s="2">
        <v>18.3</v>
      </c>
      <c r="F302" s="1" t="s">
        <v>33</v>
      </c>
      <c r="H302" s="21" t="str">
        <f t="shared" si="14"/>
        <v/>
      </c>
      <c r="I302" s="21"/>
      <c r="J302" s="3">
        <v>18.3</v>
      </c>
      <c r="K302" s="1">
        <v>55.57</v>
      </c>
      <c r="L302" s="4">
        <f t="shared" si="12"/>
        <v>1016.931</v>
      </c>
    </row>
    <row r="303" spans="1:12" x14ac:dyDescent="0.3">
      <c r="A303" s="1">
        <v>2018</v>
      </c>
      <c r="B303" s="20">
        <f t="shared" si="13"/>
        <v>43343</v>
      </c>
      <c r="C303" s="1">
        <v>7</v>
      </c>
      <c r="D303" s="1" t="s">
        <v>2</v>
      </c>
      <c r="E303" s="2">
        <v>9.98</v>
      </c>
      <c r="F303" s="1" t="s">
        <v>33</v>
      </c>
      <c r="H303" s="21" t="str">
        <f t="shared" si="14"/>
        <v/>
      </c>
      <c r="I303" s="21"/>
      <c r="J303" s="3">
        <v>9.98</v>
      </c>
      <c r="K303" s="1">
        <v>58.22</v>
      </c>
      <c r="L303" s="4">
        <f t="shared" si="12"/>
        <v>581.03560000000004</v>
      </c>
    </row>
    <row r="304" spans="1:12" x14ac:dyDescent="0.3">
      <c r="A304" s="1">
        <v>2018</v>
      </c>
      <c r="B304" s="20">
        <f t="shared" si="13"/>
        <v>43343</v>
      </c>
      <c r="C304" s="1">
        <v>8</v>
      </c>
      <c r="D304" s="1" t="s">
        <v>24</v>
      </c>
      <c r="E304" s="2">
        <v>8.17</v>
      </c>
      <c r="F304" s="1" t="s">
        <v>33</v>
      </c>
      <c r="H304" s="21" t="str">
        <f t="shared" si="14"/>
        <v/>
      </c>
      <c r="I304" s="21"/>
      <c r="J304" s="3">
        <v>8.17</v>
      </c>
      <c r="K304" s="1">
        <v>62.23</v>
      </c>
      <c r="L304" s="4">
        <f t="shared" si="12"/>
        <v>508.41909999999996</v>
      </c>
    </row>
    <row r="305" spans="1:12" x14ac:dyDescent="0.3">
      <c r="A305" s="1">
        <v>2018</v>
      </c>
      <c r="B305" s="20">
        <f t="shared" si="13"/>
        <v>43343</v>
      </c>
      <c r="C305" s="1">
        <v>9</v>
      </c>
      <c r="D305" s="1" t="s">
        <v>24</v>
      </c>
      <c r="E305" s="2">
        <v>14.39</v>
      </c>
      <c r="F305" s="1" t="s">
        <v>33</v>
      </c>
      <c r="H305" s="21" t="str">
        <f t="shared" si="14"/>
        <v/>
      </c>
      <c r="I305" s="21"/>
      <c r="J305" s="3">
        <v>14.39</v>
      </c>
      <c r="K305" s="1">
        <v>60.59</v>
      </c>
      <c r="L305" s="4">
        <f t="shared" si="12"/>
        <v>871.89010000000007</v>
      </c>
    </row>
    <row r="306" spans="1:12" x14ac:dyDescent="0.3">
      <c r="A306" s="1">
        <v>2018</v>
      </c>
      <c r="B306" s="20">
        <f t="shared" si="13"/>
        <v>43343</v>
      </c>
      <c r="C306" s="1">
        <v>10</v>
      </c>
      <c r="D306" s="1" t="s">
        <v>2</v>
      </c>
      <c r="E306" s="2">
        <v>6.43</v>
      </c>
      <c r="F306" s="1" t="s">
        <v>33</v>
      </c>
      <c r="H306" s="21" t="str">
        <f t="shared" si="14"/>
        <v/>
      </c>
      <c r="I306" s="21"/>
      <c r="J306" s="3">
        <v>6.43</v>
      </c>
      <c r="K306" s="1">
        <v>73.260000000000005</v>
      </c>
      <c r="L306" s="4">
        <f t="shared" si="12"/>
        <v>471.06180000000001</v>
      </c>
    </row>
    <row r="307" spans="1:12" x14ac:dyDescent="0.3">
      <c r="A307" s="1">
        <v>2018</v>
      </c>
      <c r="B307" s="20">
        <f t="shared" si="13"/>
        <v>43343</v>
      </c>
      <c r="C307" s="1">
        <v>12</v>
      </c>
      <c r="D307" s="1" t="s">
        <v>2</v>
      </c>
      <c r="E307" s="2">
        <v>4.66</v>
      </c>
      <c r="F307" s="1" t="s">
        <v>33</v>
      </c>
      <c r="H307" s="21" t="str">
        <f t="shared" si="14"/>
        <v/>
      </c>
      <c r="I307" s="21"/>
      <c r="J307" s="3">
        <v>4.66</v>
      </c>
      <c r="K307" s="1">
        <v>80.87</v>
      </c>
      <c r="L307" s="4">
        <f t="shared" si="12"/>
        <v>376.85420000000005</v>
      </c>
    </row>
    <row r="308" spans="1:12" x14ac:dyDescent="0.3">
      <c r="A308" s="1">
        <v>2018</v>
      </c>
      <c r="B308" s="20">
        <f t="shared" si="13"/>
        <v>43343</v>
      </c>
      <c r="C308" s="1">
        <v>14</v>
      </c>
      <c r="D308" s="1" t="s">
        <v>2</v>
      </c>
      <c r="E308" s="2">
        <v>7.2</v>
      </c>
      <c r="F308" s="1" t="s">
        <v>33</v>
      </c>
      <c r="H308" s="21" t="str">
        <f t="shared" si="14"/>
        <v/>
      </c>
      <c r="I308" s="21"/>
      <c r="J308" s="3">
        <v>7.2</v>
      </c>
      <c r="K308" s="1">
        <v>61.84</v>
      </c>
      <c r="L308" s="4">
        <f t="shared" si="12"/>
        <v>445.24800000000005</v>
      </c>
    </row>
    <row r="309" spans="1:12" x14ac:dyDescent="0.3">
      <c r="A309" s="1">
        <v>2018</v>
      </c>
      <c r="B309" s="20">
        <f t="shared" si="13"/>
        <v>43343</v>
      </c>
      <c r="C309" s="1">
        <v>15</v>
      </c>
      <c r="D309" s="1" t="s">
        <v>3</v>
      </c>
      <c r="E309" s="2">
        <v>9.85</v>
      </c>
      <c r="F309" s="1" t="s">
        <v>33</v>
      </c>
      <c r="H309" s="21" t="str">
        <f t="shared" si="14"/>
        <v/>
      </c>
      <c r="I309" s="21"/>
      <c r="J309" s="3">
        <v>9.85</v>
      </c>
      <c r="K309" s="1">
        <v>60.27</v>
      </c>
      <c r="L309" s="4">
        <f t="shared" si="12"/>
        <v>593.65949999999998</v>
      </c>
    </row>
    <row r="310" spans="1:12" x14ac:dyDescent="0.3">
      <c r="A310" s="1">
        <v>2018</v>
      </c>
      <c r="B310" s="20">
        <f t="shared" si="13"/>
        <v>43343</v>
      </c>
      <c r="C310" s="1">
        <v>16</v>
      </c>
      <c r="D310" s="1" t="s">
        <v>3</v>
      </c>
      <c r="E310" s="2">
        <v>12.88</v>
      </c>
      <c r="F310" s="1" t="s">
        <v>33</v>
      </c>
      <c r="H310" s="21" t="str">
        <f t="shared" si="14"/>
        <v/>
      </c>
      <c r="I310" s="21"/>
      <c r="J310" s="3">
        <v>12.88</v>
      </c>
      <c r="K310" s="1">
        <v>57.62</v>
      </c>
      <c r="L310" s="4">
        <f t="shared" si="12"/>
        <v>742.14560000000006</v>
      </c>
    </row>
    <row r="311" spans="1:12" x14ac:dyDescent="0.3">
      <c r="A311" s="1">
        <v>2018</v>
      </c>
      <c r="B311" s="20">
        <f t="shared" si="13"/>
        <v>43343</v>
      </c>
      <c r="C311" s="1">
        <v>17</v>
      </c>
      <c r="D311" s="1" t="s">
        <v>2</v>
      </c>
      <c r="E311" s="2">
        <v>9.4499999999999993</v>
      </c>
      <c r="F311" s="1" t="s">
        <v>33</v>
      </c>
      <c r="H311" s="21" t="str">
        <f t="shared" si="14"/>
        <v/>
      </c>
      <c r="I311" s="21"/>
      <c r="J311" s="3">
        <v>9.4499999999999993</v>
      </c>
      <c r="K311" s="1">
        <v>62.82</v>
      </c>
      <c r="L311" s="4">
        <f t="shared" si="12"/>
        <v>593.649</v>
      </c>
    </row>
    <row r="312" spans="1:12" x14ac:dyDescent="0.3">
      <c r="A312" s="1">
        <v>2018</v>
      </c>
      <c r="B312" s="20">
        <f t="shared" si="13"/>
        <v>43343</v>
      </c>
      <c r="C312" s="1">
        <v>18</v>
      </c>
      <c r="D312" s="1" t="s">
        <v>25</v>
      </c>
      <c r="E312" s="2">
        <v>4.37</v>
      </c>
      <c r="F312" s="1" t="s">
        <v>20</v>
      </c>
      <c r="H312" s="21" t="str">
        <f t="shared" si="14"/>
        <v/>
      </c>
      <c r="I312" s="21"/>
      <c r="J312" s="3">
        <v>4.37</v>
      </c>
      <c r="K312" s="1">
        <v>88.4</v>
      </c>
      <c r="L312" s="4">
        <f t="shared" si="12"/>
        <v>386.30800000000005</v>
      </c>
    </row>
    <row r="313" spans="1:12" x14ac:dyDescent="0.3">
      <c r="A313" s="1">
        <v>2018</v>
      </c>
      <c r="B313" s="20">
        <f t="shared" si="13"/>
        <v>43343</v>
      </c>
      <c r="C313" s="1">
        <v>19</v>
      </c>
      <c r="D313" s="1" t="s">
        <v>25</v>
      </c>
      <c r="E313" s="2">
        <v>13.15</v>
      </c>
      <c r="F313" s="1" t="s">
        <v>20</v>
      </c>
      <c r="H313" s="21" t="str">
        <f t="shared" si="14"/>
        <v/>
      </c>
      <c r="I313" s="21"/>
      <c r="J313" s="3">
        <v>13.15</v>
      </c>
      <c r="K313" s="1">
        <v>88.14</v>
      </c>
      <c r="L313" s="4">
        <f t="shared" si="12"/>
        <v>1159.0409999999999</v>
      </c>
    </row>
    <row r="314" spans="1:12" x14ac:dyDescent="0.3">
      <c r="A314" s="1">
        <v>2018</v>
      </c>
      <c r="B314" s="20">
        <f t="shared" si="13"/>
        <v>43343</v>
      </c>
      <c r="C314" s="1">
        <v>20</v>
      </c>
      <c r="D314" s="1" t="s">
        <v>2</v>
      </c>
      <c r="E314" s="2">
        <v>4.95</v>
      </c>
      <c r="F314" s="1" t="s">
        <v>33</v>
      </c>
      <c r="G314" s="20">
        <v>41334</v>
      </c>
      <c r="H314" s="21">
        <f t="shared" si="14"/>
        <v>65</v>
      </c>
      <c r="I314" s="24">
        <f>H314/12</f>
        <v>5.416666666666667</v>
      </c>
      <c r="J314" s="3">
        <v>4.95</v>
      </c>
      <c r="K314" s="1">
        <v>59.96</v>
      </c>
      <c r="L314" s="4">
        <f t="shared" si="12"/>
        <v>296.80200000000002</v>
      </c>
    </row>
    <row r="315" spans="1:12" x14ac:dyDescent="0.3">
      <c r="A315" s="1">
        <v>2018</v>
      </c>
      <c r="B315" s="20">
        <f t="shared" si="13"/>
        <v>43343</v>
      </c>
      <c r="C315" s="1">
        <v>21</v>
      </c>
      <c r="D315" s="1" t="s">
        <v>25</v>
      </c>
      <c r="E315" s="2">
        <v>21.59</v>
      </c>
      <c r="F315" s="1" t="s">
        <v>20</v>
      </c>
      <c r="H315" s="21" t="str">
        <f t="shared" si="14"/>
        <v/>
      </c>
      <c r="I315" s="21"/>
      <c r="J315" s="3">
        <v>21.59</v>
      </c>
      <c r="K315" s="1">
        <v>89.48</v>
      </c>
      <c r="L315" s="4">
        <f t="shared" si="12"/>
        <v>1931.8732</v>
      </c>
    </row>
    <row r="316" spans="1:12" x14ac:dyDescent="0.3">
      <c r="A316" s="1">
        <v>2018</v>
      </c>
      <c r="B316" s="20">
        <f t="shared" si="13"/>
        <v>43343</v>
      </c>
      <c r="C316" s="1">
        <v>22</v>
      </c>
      <c r="D316" s="1" t="s">
        <v>25</v>
      </c>
      <c r="E316" s="2">
        <v>19.98</v>
      </c>
      <c r="F316" s="1" t="s">
        <v>19</v>
      </c>
      <c r="H316" s="21" t="str">
        <f t="shared" si="14"/>
        <v/>
      </c>
      <c r="I316" s="21"/>
      <c r="J316" s="3">
        <v>19.98</v>
      </c>
      <c r="K316" s="1">
        <v>100.78</v>
      </c>
      <c r="L316" s="4">
        <f t="shared" si="12"/>
        <v>2013.5844</v>
      </c>
    </row>
    <row r="317" spans="1:12" x14ac:dyDescent="0.3">
      <c r="A317" s="1">
        <v>2018</v>
      </c>
      <c r="B317" s="20">
        <f t="shared" si="13"/>
        <v>43343</v>
      </c>
      <c r="C317" s="1">
        <v>24</v>
      </c>
      <c r="D317" s="1" t="s">
        <v>12</v>
      </c>
      <c r="E317" s="2">
        <v>6.68</v>
      </c>
      <c r="F317" s="1" t="s">
        <v>32</v>
      </c>
      <c r="H317" s="21" t="str">
        <f t="shared" si="14"/>
        <v/>
      </c>
      <c r="I317" s="21"/>
      <c r="J317" s="3">
        <v>6.68</v>
      </c>
      <c r="K317" s="1">
        <v>57.62</v>
      </c>
      <c r="L317" s="4">
        <f t="shared" si="12"/>
        <v>384.90159999999997</v>
      </c>
    </row>
    <row r="318" spans="1:12" x14ac:dyDescent="0.3">
      <c r="A318" s="1">
        <v>2018</v>
      </c>
      <c r="B318" s="20">
        <f t="shared" si="13"/>
        <v>43343</v>
      </c>
      <c r="C318" s="1">
        <v>25</v>
      </c>
      <c r="D318" s="1" t="s">
        <v>12</v>
      </c>
      <c r="E318" s="2">
        <v>4.9000000000000004</v>
      </c>
      <c r="F318" s="1" t="s">
        <v>32</v>
      </c>
      <c r="H318" s="21" t="str">
        <f t="shared" si="14"/>
        <v/>
      </c>
      <c r="I318" s="21"/>
      <c r="J318" s="3">
        <v>4.9000000000000004</v>
      </c>
      <c r="K318" s="1">
        <v>58.9</v>
      </c>
      <c r="L318" s="4">
        <f t="shared" si="12"/>
        <v>288.61</v>
      </c>
    </row>
    <row r="319" spans="1:12" x14ac:dyDescent="0.3">
      <c r="A319" s="1">
        <v>2018</v>
      </c>
      <c r="B319" s="20">
        <f t="shared" si="13"/>
        <v>43343</v>
      </c>
      <c r="C319" s="1">
        <v>26</v>
      </c>
      <c r="D319" s="1" t="s">
        <v>12</v>
      </c>
      <c r="E319" s="2">
        <v>4.1100000000000003</v>
      </c>
      <c r="F319" s="1" t="s">
        <v>32</v>
      </c>
      <c r="H319" s="21" t="str">
        <f t="shared" si="14"/>
        <v/>
      </c>
      <c r="I319" s="21"/>
      <c r="J319" s="3">
        <v>4.1100000000000003</v>
      </c>
      <c r="K319" s="1">
        <v>70.23</v>
      </c>
      <c r="L319" s="4">
        <f t="shared" si="12"/>
        <v>288.64530000000002</v>
      </c>
    </row>
    <row r="320" spans="1:12" x14ac:dyDescent="0.3">
      <c r="A320" s="1">
        <v>2018</v>
      </c>
      <c r="B320" s="20">
        <f t="shared" si="13"/>
        <v>43343</v>
      </c>
      <c r="C320" s="1">
        <v>27</v>
      </c>
      <c r="D320" s="1" t="s">
        <v>12</v>
      </c>
      <c r="E320" s="2">
        <v>2.5</v>
      </c>
      <c r="F320" s="1" t="s">
        <v>32</v>
      </c>
      <c r="H320" s="21" t="str">
        <f t="shared" si="14"/>
        <v/>
      </c>
      <c r="I320" s="21"/>
      <c r="J320" s="3">
        <v>2.5</v>
      </c>
      <c r="K320" s="1">
        <v>38.46</v>
      </c>
      <c r="L320" s="4">
        <f t="shared" si="12"/>
        <v>96.15</v>
      </c>
    </row>
    <row r="321" spans="1:12" x14ac:dyDescent="0.3">
      <c r="A321" s="1">
        <v>2018</v>
      </c>
      <c r="B321" s="20">
        <f t="shared" si="13"/>
        <v>43343</v>
      </c>
      <c r="C321" s="1">
        <v>28</v>
      </c>
      <c r="D321" s="1" t="s">
        <v>12</v>
      </c>
      <c r="E321" s="2">
        <v>4.66</v>
      </c>
      <c r="F321" s="1" t="s">
        <v>32</v>
      </c>
      <c r="H321" s="21" t="str">
        <f t="shared" si="14"/>
        <v/>
      </c>
      <c r="I321" s="21"/>
      <c r="J321" s="3">
        <v>4.66</v>
      </c>
      <c r="K321" s="1">
        <v>61.94</v>
      </c>
      <c r="L321" s="4">
        <f t="shared" si="12"/>
        <v>288.6404</v>
      </c>
    </row>
    <row r="322" spans="1:12" x14ac:dyDescent="0.3">
      <c r="A322" s="1">
        <v>2018</v>
      </c>
      <c r="B322" s="20">
        <f t="shared" si="13"/>
        <v>43343</v>
      </c>
      <c r="C322" s="1">
        <v>29</v>
      </c>
      <c r="D322" s="1" t="s">
        <v>26</v>
      </c>
      <c r="E322" s="2">
        <v>2.1800000000000002</v>
      </c>
      <c r="F322" s="1" t="s">
        <v>33</v>
      </c>
      <c r="H322" s="21" t="str">
        <f t="shared" si="14"/>
        <v/>
      </c>
      <c r="I322" s="21"/>
      <c r="J322" s="3">
        <v>2.1800000000000002</v>
      </c>
      <c r="K322" s="1">
        <v>44.1</v>
      </c>
      <c r="L322" s="4">
        <f t="shared" ref="L322:L385" si="15">J322*K322</f>
        <v>96.138000000000005</v>
      </c>
    </row>
    <row r="323" spans="1:12" x14ac:dyDescent="0.3">
      <c r="A323" s="1">
        <v>2018</v>
      </c>
      <c r="B323" s="20">
        <f t="shared" ref="B323:B386" si="16">IF(A323="","",DATE(A323,8,31))</f>
        <v>43343</v>
      </c>
      <c r="C323" s="1">
        <v>30</v>
      </c>
      <c r="D323" s="1" t="s">
        <v>26</v>
      </c>
      <c r="E323" s="2">
        <v>4.2300000000000004</v>
      </c>
      <c r="F323" s="1" t="s">
        <v>33</v>
      </c>
      <c r="H323" s="21" t="str">
        <f t="shared" ref="H323:H386" si="17">IF(OR(G323="",B323=""),"",DATEDIF(G323,B323,"m"))</f>
        <v/>
      </c>
      <c r="I323" s="21"/>
      <c r="J323" s="3">
        <v>4.2300000000000004</v>
      </c>
      <c r="K323" s="1">
        <v>45.48</v>
      </c>
      <c r="L323" s="4">
        <f t="shared" si="15"/>
        <v>192.38040000000001</v>
      </c>
    </row>
    <row r="324" spans="1:12" x14ac:dyDescent="0.3">
      <c r="A324" s="1">
        <v>2018</v>
      </c>
      <c r="B324" s="20">
        <f t="shared" si="16"/>
        <v>43343</v>
      </c>
      <c r="C324" s="1">
        <v>31</v>
      </c>
      <c r="D324" s="1" t="s">
        <v>12</v>
      </c>
      <c r="E324" s="2">
        <v>8.4700000000000006</v>
      </c>
      <c r="F324" s="1" t="s">
        <v>32</v>
      </c>
      <c r="H324" s="21" t="str">
        <f t="shared" si="17"/>
        <v/>
      </c>
      <c r="I324" s="21"/>
      <c r="J324" s="3">
        <v>8.4700000000000006</v>
      </c>
      <c r="K324" s="1">
        <v>56.8</v>
      </c>
      <c r="L324" s="4">
        <f t="shared" si="15"/>
        <v>481.096</v>
      </c>
    </row>
    <row r="325" spans="1:12" x14ac:dyDescent="0.3">
      <c r="A325" s="1">
        <v>2018</v>
      </c>
      <c r="B325" s="20">
        <f t="shared" si="16"/>
        <v>43343</v>
      </c>
      <c r="C325" s="1">
        <v>32</v>
      </c>
      <c r="D325" s="1" t="s">
        <v>25</v>
      </c>
      <c r="E325" s="2">
        <v>1.43</v>
      </c>
      <c r="F325" s="1" t="s">
        <v>28</v>
      </c>
      <c r="H325" s="21" t="str">
        <f t="shared" si="17"/>
        <v/>
      </c>
      <c r="I325" s="21"/>
      <c r="J325" s="3">
        <v>1.43</v>
      </c>
      <c r="K325" s="1">
        <v>67.239999999999995</v>
      </c>
      <c r="L325" s="4">
        <f t="shared" si="15"/>
        <v>96.153199999999984</v>
      </c>
    </row>
    <row r="326" spans="1:12" x14ac:dyDescent="0.3">
      <c r="A326" s="1">
        <v>2018</v>
      </c>
      <c r="B326" s="20">
        <f t="shared" si="16"/>
        <v>43343</v>
      </c>
      <c r="C326" s="1">
        <v>34</v>
      </c>
      <c r="D326" s="1" t="s">
        <v>12</v>
      </c>
      <c r="E326" s="2">
        <v>5.22</v>
      </c>
      <c r="F326" s="1" t="s">
        <v>32</v>
      </c>
      <c r="H326" s="21" t="str">
        <f t="shared" si="17"/>
        <v/>
      </c>
      <c r="I326" s="21"/>
      <c r="J326" s="3">
        <v>5.22</v>
      </c>
      <c r="K326" s="1">
        <v>55.29</v>
      </c>
      <c r="L326" s="4">
        <f t="shared" si="15"/>
        <v>288.61379999999997</v>
      </c>
    </row>
    <row r="327" spans="1:12" x14ac:dyDescent="0.3">
      <c r="A327" s="1">
        <v>2018</v>
      </c>
      <c r="B327" s="20">
        <f t="shared" si="16"/>
        <v>43343</v>
      </c>
      <c r="C327" s="1">
        <v>35</v>
      </c>
      <c r="D327" s="1" t="s">
        <v>12</v>
      </c>
      <c r="E327" s="2">
        <v>2.91</v>
      </c>
      <c r="F327" s="1" t="s">
        <v>32</v>
      </c>
      <c r="H327" s="21" t="str">
        <f t="shared" si="17"/>
        <v/>
      </c>
      <c r="I327" s="21"/>
      <c r="J327" s="3">
        <v>2.91</v>
      </c>
      <c r="K327" s="1">
        <v>66.12</v>
      </c>
      <c r="L327" s="4">
        <f t="shared" si="15"/>
        <v>192.40920000000003</v>
      </c>
    </row>
    <row r="328" spans="1:12" x14ac:dyDescent="0.3">
      <c r="A328" s="1">
        <v>2018</v>
      </c>
      <c r="B328" s="20">
        <f t="shared" si="16"/>
        <v>43343</v>
      </c>
      <c r="C328" s="1">
        <v>36</v>
      </c>
      <c r="D328" s="1" t="s">
        <v>12</v>
      </c>
      <c r="E328" s="2">
        <v>5.81</v>
      </c>
      <c r="F328" s="1" t="s">
        <v>32</v>
      </c>
      <c r="H328" s="21" t="str">
        <f t="shared" si="17"/>
        <v/>
      </c>
      <c r="I328" s="21"/>
      <c r="J328" s="3">
        <v>5.81</v>
      </c>
      <c r="K328" s="1">
        <v>49.68</v>
      </c>
      <c r="L328" s="4">
        <f t="shared" si="15"/>
        <v>288.64079999999996</v>
      </c>
    </row>
    <row r="329" spans="1:12" x14ac:dyDescent="0.3">
      <c r="A329" s="1">
        <v>2018</v>
      </c>
      <c r="B329" s="20">
        <f t="shared" si="16"/>
        <v>43343</v>
      </c>
      <c r="C329" s="1">
        <v>37</v>
      </c>
      <c r="D329" s="1" t="s">
        <v>12</v>
      </c>
      <c r="E329" s="2">
        <v>4.58</v>
      </c>
      <c r="F329" s="1" t="s">
        <v>32</v>
      </c>
      <c r="H329" s="21" t="str">
        <f t="shared" si="17"/>
        <v/>
      </c>
      <c r="I329" s="21"/>
      <c r="J329" s="3">
        <v>4.58</v>
      </c>
      <c r="K329" s="1">
        <v>63.02</v>
      </c>
      <c r="L329" s="4">
        <f t="shared" si="15"/>
        <v>288.63159999999999</v>
      </c>
    </row>
    <row r="330" spans="1:12" x14ac:dyDescent="0.3">
      <c r="A330" s="1">
        <v>2018</v>
      </c>
      <c r="B330" s="20">
        <f t="shared" si="16"/>
        <v>43343</v>
      </c>
      <c r="C330" s="1">
        <v>38</v>
      </c>
      <c r="D330" s="1" t="s">
        <v>12</v>
      </c>
      <c r="E330" s="2">
        <v>2.09</v>
      </c>
      <c r="F330" s="1" t="s">
        <v>32</v>
      </c>
      <c r="H330" s="21" t="str">
        <f t="shared" si="17"/>
        <v/>
      </c>
      <c r="I330" s="21"/>
      <c r="J330" s="3">
        <v>2.09</v>
      </c>
      <c r="K330" s="1">
        <v>46</v>
      </c>
      <c r="L330" s="4">
        <f t="shared" si="15"/>
        <v>96.139999999999986</v>
      </c>
    </row>
    <row r="331" spans="1:12" x14ac:dyDescent="0.3">
      <c r="A331" s="1">
        <v>2018</v>
      </c>
      <c r="B331" s="20">
        <f t="shared" si="16"/>
        <v>43343</v>
      </c>
      <c r="C331" s="1">
        <v>39</v>
      </c>
      <c r="D331" s="1" t="s">
        <v>12</v>
      </c>
      <c r="E331" s="2">
        <v>4.88</v>
      </c>
      <c r="F331" s="1" t="s">
        <v>32</v>
      </c>
      <c r="H331" s="21" t="str">
        <f t="shared" si="17"/>
        <v/>
      </c>
      <c r="I331" s="21"/>
      <c r="J331" s="3">
        <v>4.88</v>
      </c>
      <c r="K331" s="1">
        <v>39.43</v>
      </c>
      <c r="L331" s="4">
        <f t="shared" si="15"/>
        <v>192.41839999999999</v>
      </c>
    </row>
    <row r="332" spans="1:12" x14ac:dyDescent="0.3">
      <c r="A332" s="1">
        <v>2018</v>
      </c>
      <c r="B332" s="20">
        <f t="shared" si="16"/>
        <v>43343</v>
      </c>
      <c r="C332" s="1">
        <v>40</v>
      </c>
      <c r="D332" s="1" t="s">
        <v>26</v>
      </c>
      <c r="E332" s="2">
        <v>4.01</v>
      </c>
      <c r="F332" s="1" t="s">
        <v>32</v>
      </c>
      <c r="H332" s="21" t="str">
        <f t="shared" si="17"/>
        <v/>
      </c>
      <c r="I332" s="21"/>
      <c r="J332" s="3">
        <v>4.01</v>
      </c>
      <c r="K332" s="1">
        <v>47.98</v>
      </c>
      <c r="L332" s="4">
        <f t="shared" si="15"/>
        <v>192.39979999999997</v>
      </c>
    </row>
    <row r="333" spans="1:12" x14ac:dyDescent="0.3">
      <c r="A333" s="1">
        <v>2018</v>
      </c>
      <c r="B333" s="20">
        <f t="shared" si="16"/>
        <v>43343</v>
      </c>
      <c r="C333" s="1">
        <v>41</v>
      </c>
      <c r="D333" s="1" t="s">
        <v>26</v>
      </c>
      <c r="E333" s="2">
        <v>3.73</v>
      </c>
      <c r="F333" s="1" t="s">
        <v>32</v>
      </c>
      <c r="H333" s="21" t="str">
        <f t="shared" si="17"/>
        <v/>
      </c>
      <c r="I333" s="21"/>
      <c r="J333" s="3">
        <v>3.73</v>
      </c>
      <c r="K333" s="1">
        <v>51.58</v>
      </c>
      <c r="L333" s="4">
        <f t="shared" si="15"/>
        <v>192.39339999999999</v>
      </c>
    </row>
    <row r="334" spans="1:12" x14ac:dyDescent="0.3">
      <c r="A334" s="1">
        <v>2018</v>
      </c>
      <c r="B334" s="20">
        <f t="shared" si="16"/>
        <v>43343</v>
      </c>
      <c r="C334" s="1">
        <v>42</v>
      </c>
      <c r="D334" s="1" t="s">
        <v>26</v>
      </c>
      <c r="E334" s="2">
        <v>6.06</v>
      </c>
      <c r="F334" s="1" t="s">
        <v>32</v>
      </c>
      <c r="H334" s="21" t="str">
        <f t="shared" si="17"/>
        <v/>
      </c>
      <c r="I334" s="21"/>
      <c r="J334" s="3">
        <v>6.06</v>
      </c>
      <c r="K334" s="1">
        <v>63.51</v>
      </c>
      <c r="L334" s="4">
        <f t="shared" si="15"/>
        <v>384.87059999999997</v>
      </c>
    </row>
    <row r="335" spans="1:12" x14ac:dyDescent="0.3">
      <c r="A335" s="1">
        <v>2018</v>
      </c>
      <c r="B335" s="20">
        <f t="shared" si="16"/>
        <v>43343</v>
      </c>
      <c r="C335" s="1">
        <v>43</v>
      </c>
      <c r="D335" s="1" t="s">
        <v>26</v>
      </c>
      <c r="E335" s="2">
        <v>4.58</v>
      </c>
      <c r="F335" s="1" t="s">
        <v>32</v>
      </c>
      <c r="H335" s="21" t="str">
        <f t="shared" si="17"/>
        <v/>
      </c>
      <c r="I335" s="21"/>
      <c r="J335" s="3">
        <v>4.58</v>
      </c>
      <c r="K335" s="1">
        <v>63.02</v>
      </c>
      <c r="L335" s="4">
        <f t="shared" si="15"/>
        <v>288.63159999999999</v>
      </c>
    </row>
    <row r="336" spans="1:12" x14ac:dyDescent="0.3">
      <c r="A336" s="1">
        <v>2018</v>
      </c>
      <c r="B336" s="20">
        <f t="shared" si="16"/>
        <v>43343</v>
      </c>
      <c r="C336" s="1">
        <v>44</v>
      </c>
      <c r="D336" s="1" t="s">
        <v>26</v>
      </c>
      <c r="E336" s="2">
        <v>2.98</v>
      </c>
      <c r="F336" s="1" t="s">
        <v>32</v>
      </c>
      <c r="H336" s="21" t="str">
        <f t="shared" si="17"/>
        <v/>
      </c>
      <c r="I336" s="21"/>
      <c r="J336" s="3">
        <v>2.98</v>
      </c>
      <c r="K336" s="1">
        <v>64.56</v>
      </c>
      <c r="L336" s="4">
        <f t="shared" si="15"/>
        <v>192.3888</v>
      </c>
    </row>
    <row r="337" spans="1:12" x14ac:dyDescent="0.3">
      <c r="A337" s="1">
        <v>2018</v>
      </c>
      <c r="B337" s="20">
        <f t="shared" si="16"/>
        <v>43343</v>
      </c>
      <c r="C337" s="1">
        <v>45</v>
      </c>
      <c r="D337" s="1" t="s">
        <v>25</v>
      </c>
      <c r="E337" s="2">
        <v>10.69</v>
      </c>
      <c r="F337" s="1" t="s">
        <v>28</v>
      </c>
      <c r="H337" s="21" t="str">
        <f t="shared" si="17"/>
        <v/>
      </c>
      <c r="I337" s="21"/>
      <c r="J337" s="3">
        <v>10.69</v>
      </c>
      <c r="K337" s="1">
        <v>96.2</v>
      </c>
      <c r="L337" s="4">
        <f t="shared" si="15"/>
        <v>1028.3779999999999</v>
      </c>
    </row>
    <row r="338" spans="1:12" x14ac:dyDescent="0.3">
      <c r="A338" s="1">
        <v>2018</v>
      </c>
      <c r="B338" s="20">
        <f t="shared" si="16"/>
        <v>43343</v>
      </c>
      <c r="C338" s="1">
        <v>46</v>
      </c>
      <c r="D338" s="1" t="s">
        <v>25</v>
      </c>
      <c r="E338" s="2">
        <v>5.86</v>
      </c>
      <c r="F338" s="1" t="s">
        <v>28</v>
      </c>
      <c r="H338" s="21" t="str">
        <f t="shared" si="17"/>
        <v/>
      </c>
      <c r="I338" s="21"/>
      <c r="J338" s="3">
        <v>5.86</v>
      </c>
      <c r="K338" s="1">
        <v>73.53</v>
      </c>
      <c r="L338" s="4">
        <f t="shared" si="15"/>
        <v>430.88580000000002</v>
      </c>
    </row>
    <row r="339" spans="1:12" x14ac:dyDescent="0.3">
      <c r="A339" s="1">
        <v>2018</v>
      </c>
      <c r="B339" s="20">
        <f t="shared" si="16"/>
        <v>43343</v>
      </c>
      <c r="C339" s="1">
        <v>47</v>
      </c>
      <c r="D339" s="1" t="s">
        <v>2</v>
      </c>
      <c r="E339" s="2">
        <v>7.69</v>
      </c>
      <c r="F339" s="1" t="s">
        <v>32</v>
      </c>
      <c r="H339" s="21" t="str">
        <f t="shared" si="17"/>
        <v/>
      </c>
      <c r="I339" s="21"/>
      <c r="J339" s="3">
        <v>7.69</v>
      </c>
      <c r="K339" s="1">
        <v>46.56</v>
      </c>
      <c r="L339" s="4">
        <f t="shared" si="15"/>
        <v>358.04640000000006</v>
      </c>
    </row>
    <row r="340" spans="1:12" x14ac:dyDescent="0.3">
      <c r="A340" s="1">
        <v>2018</v>
      </c>
      <c r="B340" s="20">
        <f t="shared" si="16"/>
        <v>43343</v>
      </c>
      <c r="C340" s="1">
        <v>48</v>
      </c>
      <c r="D340" s="1" t="s">
        <v>2</v>
      </c>
      <c r="E340" s="2">
        <v>4.1900000000000004</v>
      </c>
      <c r="F340" s="1" t="s">
        <v>32</v>
      </c>
      <c r="H340" s="21" t="str">
        <f t="shared" si="17"/>
        <v/>
      </c>
      <c r="I340" s="21"/>
      <c r="J340" s="3">
        <v>4.1900000000000004</v>
      </c>
      <c r="K340" s="1">
        <v>55.21</v>
      </c>
      <c r="L340" s="4">
        <f t="shared" si="15"/>
        <v>231.32990000000004</v>
      </c>
    </row>
    <row r="341" spans="1:12" x14ac:dyDescent="0.3">
      <c r="A341" s="1">
        <v>2018</v>
      </c>
      <c r="B341" s="20">
        <f t="shared" si="16"/>
        <v>43343</v>
      </c>
      <c r="C341" s="1">
        <v>52</v>
      </c>
      <c r="D341" s="1" t="s">
        <v>26</v>
      </c>
      <c r="E341" s="2">
        <v>8.07</v>
      </c>
      <c r="F341" s="1" t="s">
        <v>33</v>
      </c>
      <c r="H341" s="21" t="str">
        <f t="shared" si="17"/>
        <v/>
      </c>
      <c r="I341" s="21"/>
      <c r="J341" s="3">
        <v>8.07</v>
      </c>
      <c r="K341" s="1">
        <v>33.299999999999997</v>
      </c>
      <c r="L341" s="4">
        <f t="shared" si="15"/>
        <v>268.73099999999999</v>
      </c>
    </row>
    <row r="342" spans="1:12" x14ac:dyDescent="0.3">
      <c r="A342" s="1">
        <v>2018</v>
      </c>
      <c r="B342" s="20">
        <f t="shared" si="16"/>
        <v>43343</v>
      </c>
      <c r="C342" s="1">
        <v>53</v>
      </c>
      <c r="D342" s="1" t="s">
        <v>2</v>
      </c>
      <c r="E342" s="2">
        <v>13.43</v>
      </c>
      <c r="F342" s="1" t="s">
        <v>33</v>
      </c>
      <c r="H342" s="21" t="str">
        <f t="shared" si="17"/>
        <v/>
      </c>
      <c r="I342" s="21"/>
      <c r="J342" s="3">
        <v>13.43</v>
      </c>
      <c r="K342" s="1">
        <v>44.11</v>
      </c>
      <c r="L342" s="4">
        <f t="shared" si="15"/>
        <v>592.39729999999997</v>
      </c>
    </row>
    <row r="343" spans="1:12" x14ac:dyDescent="0.3">
      <c r="A343" s="1">
        <v>2018</v>
      </c>
      <c r="B343" s="20">
        <f t="shared" si="16"/>
        <v>43343</v>
      </c>
      <c r="C343" s="1">
        <v>54</v>
      </c>
      <c r="D343" s="1" t="s">
        <v>26</v>
      </c>
      <c r="E343" s="2">
        <v>10.199999999999999</v>
      </c>
      <c r="F343" s="1" t="s">
        <v>33</v>
      </c>
      <c r="H343" s="21" t="str">
        <f t="shared" si="17"/>
        <v/>
      </c>
      <c r="I343" s="21"/>
      <c r="J343" s="3">
        <v>10.199999999999999</v>
      </c>
      <c r="K343" s="1">
        <v>56.01</v>
      </c>
      <c r="L343" s="4">
        <f t="shared" si="15"/>
        <v>571.30199999999991</v>
      </c>
    </row>
    <row r="344" spans="1:12" x14ac:dyDescent="0.3">
      <c r="A344" s="1">
        <v>2018</v>
      </c>
      <c r="B344" s="20">
        <f t="shared" si="16"/>
        <v>43343</v>
      </c>
      <c r="C344" s="1">
        <v>55</v>
      </c>
      <c r="D344" s="1" t="s">
        <v>26</v>
      </c>
      <c r="E344" s="2">
        <v>4.22</v>
      </c>
      <c r="F344" s="1" t="s">
        <v>33</v>
      </c>
      <c r="H344" s="21" t="str">
        <f t="shared" si="17"/>
        <v/>
      </c>
      <c r="I344" s="21"/>
      <c r="J344" s="3">
        <v>4.22</v>
      </c>
      <c r="K344" s="1">
        <v>67.680000000000007</v>
      </c>
      <c r="L344" s="4">
        <f t="shared" si="15"/>
        <v>285.6096</v>
      </c>
    </row>
    <row r="345" spans="1:12" x14ac:dyDescent="0.3">
      <c r="A345" s="1">
        <v>2018</v>
      </c>
      <c r="B345" s="20">
        <f t="shared" si="16"/>
        <v>43343</v>
      </c>
      <c r="C345" s="1">
        <v>56</v>
      </c>
      <c r="D345" s="1" t="s">
        <v>26</v>
      </c>
      <c r="E345" s="2">
        <v>10.37</v>
      </c>
      <c r="F345" s="1" t="s">
        <v>33</v>
      </c>
      <c r="H345" s="21" t="str">
        <f t="shared" si="17"/>
        <v/>
      </c>
      <c r="I345" s="21"/>
      <c r="J345" s="3">
        <v>10.37</v>
      </c>
      <c r="K345" s="1">
        <v>55.09</v>
      </c>
      <c r="L345" s="4">
        <f t="shared" si="15"/>
        <v>571.28329999999994</v>
      </c>
    </row>
    <row r="346" spans="1:12" x14ac:dyDescent="0.3">
      <c r="A346" s="1">
        <v>2018</v>
      </c>
      <c r="B346" s="20">
        <f t="shared" si="16"/>
        <v>43343</v>
      </c>
      <c r="C346" s="1">
        <v>57</v>
      </c>
      <c r="D346" s="1" t="s">
        <v>26</v>
      </c>
      <c r="E346" s="2">
        <v>11.04</v>
      </c>
      <c r="F346" s="1" t="s">
        <v>33</v>
      </c>
      <c r="H346" s="21" t="str">
        <f t="shared" si="17"/>
        <v/>
      </c>
      <c r="I346" s="21"/>
      <c r="J346" s="3">
        <v>11.04</v>
      </c>
      <c r="K346" s="1">
        <v>60.39</v>
      </c>
      <c r="L346" s="4">
        <f t="shared" si="15"/>
        <v>666.7056</v>
      </c>
    </row>
    <row r="347" spans="1:12" x14ac:dyDescent="0.3">
      <c r="A347" s="1">
        <v>2018</v>
      </c>
      <c r="B347" s="20">
        <f t="shared" si="16"/>
        <v>43343</v>
      </c>
      <c r="C347" s="1">
        <v>58</v>
      </c>
      <c r="D347" s="1" t="s">
        <v>25</v>
      </c>
      <c r="E347" s="2">
        <v>34.17</v>
      </c>
      <c r="F347" s="1" t="s">
        <v>20</v>
      </c>
      <c r="H347" s="21" t="str">
        <f t="shared" si="17"/>
        <v/>
      </c>
      <c r="I347" s="21"/>
      <c r="J347" s="3">
        <v>34.17</v>
      </c>
      <c r="K347" s="1">
        <v>103.29</v>
      </c>
      <c r="L347" s="4">
        <f t="shared" si="15"/>
        <v>3529.4193000000005</v>
      </c>
    </row>
    <row r="348" spans="1:12" x14ac:dyDescent="0.3">
      <c r="A348" s="1">
        <v>2018</v>
      </c>
      <c r="B348" s="20">
        <f t="shared" si="16"/>
        <v>43343</v>
      </c>
      <c r="C348" s="1">
        <v>59</v>
      </c>
      <c r="D348" s="1" t="s">
        <v>26</v>
      </c>
      <c r="E348" s="2">
        <v>6.59</v>
      </c>
      <c r="F348" s="1" t="s">
        <v>33</v>
      </c>
      <c r="H348" s="21" t="str">
        <f t="shared" si="17"/>
        <v/>
      </c>
      <c r="I348" s="21"/>
      <c r="J348" s="3">
        <v>6.59</v>
      </c>
      <c r="K348" s="1">
        <v>34.799999999999997</v>
      </c>
      <c r="L348" s="4">
        <f t="shared" si="15"/>
        <v>229.33199999999997</v>
      </c>
    </row>
    <row r="349" spans="1:12" x14ac:dyDescent="0.3">
      <c r="A349" s="1">
        <v>2018</v>
      </c>
      <c r="B349" s="20">
        <f t="shared" si="16"/>
        <v>43343</v>
      </c>
      <c r="C349" s="1">
        <v>60</v>
      </c>
      <c r="D349" s="1" t="s">
        <v>26</v>
      </c>
      <c r="E349" s="2">
        <v>6.79</v>
      </c>
      <c r="F349" s="1" t="s">
        <v>33</v>
      </c>
      <c r="H349" s="21" t="str">
        <f t="shared" si="17"/>
        <v/>
      </c>
      <c r="I349" s="21"/>
      <c r="J349" s="3">
        <v>6.79</v>
      </c>
      <c r="K349" s="1">
        <v>42.44</v>
      </c>
      <c r="L349" s="4">
        <f t="shared" si="15"/>
        <v>288.16759999999999</v>
      </c>
    </row>
    <row r="350" spans="1:12" x14ac:dyDescent="0.3">
      <c r="A350" s="1">
        <v>2018</v>
      </c>
      <c r="B350" s="20">
        <f t="shared" si="16"/>
        <v>43343</v>
      </c>
      <c r="C350" s="1">
        <v>61</v>
      </c>
      <c r="D350" s="1" t="s">
        <v>2</v>
      </c>
      <c r="E350" s="2">
        <v>0.9</v>
      </c>
      <c r="F350" s="1" t="s">
        <v>33</v>
      </c>
      <c r="H350" s="21" t="str">
        <f t="shared" si="17"/>
        <v/>
      </c>
      <c r="I350" s="21"/>
      <c r="J350" s="3">
        <v>0.9</v>
      </c>
      <c r="K350" s="1">
        <v>70.959999999999994</v>
      </c>
      <c r="L350" s="4">
        <f t="shared" si="15"/>
        <v>63.863999999999997</v>
      </c>
    </row>
    <row r="351" spans="1:12" x14ac:dyDescent="0.3">
      <c r="A351" s="1">
        <v>2018</v>
      </c>
      <c r="B351" s="20">
        <f t="shared" si="16"/>
        <v>43343</v>
      </c>
      <c r="C351" s="1">
        <v>62</v>
      </c>
      <c r="D351" s="1" t="s">
        <v>2</v>
      </c>
      <c r="E351" s="2">
        <v>9.1300000000000008</v>
      </c>
      <c r="F351" s="1" t="s">
        <v>33</v>
      </c>
      <c r="H351" s="21" t="str">
        <f t="shared" si="17"/>
        <v/>
      </c>
      <c r="I351" s="21"/>
      <c r="J351" s="3">
        <v>9.1300000000000008</v>
      </c>
      <c r="K351" s="1">
        <v>48.97</v>
      </c>
      <c r="L351" s="4">
        <f t="shared" si="15"/>
        <v>447.09610000000004</v>
      </c>
    </row>
    <row r="352" spans="1:12" x14ac:dyDescent="0.3">
      <c r="A352" s="1">
        <v>2018</v>
      </c>
      <c r="B352" s="20">
        <f t="shared" si="16"/>
        <v>43343</v>
      </c>
      <c r="C352" s="1">
        <v>63</v>
      </c>
      <c r="D352" s="1" t="s">
        <v>2</v>
      </c>
      <c r="E352" s="2">
        <v>7.8</v>
      </c>
      <c r="F352" s="1" t="s">
        <v>30</v>
      </c>
      <c r="H352" s="21" t="str">
        <f t="shared" si="17"/>
        <v/>
      </c>
      <c r="I352" s="21"/>
      <c r="J352" s="3">
        <v>7.8</v>
      </c>
      <c r="K352" s="1">
        <v>79.36</v>
      </c>
      <c r="L352" s="4">
        <f t="shared" si="15"/>
        <v>619.00800000000004</v>
      </c>
    </row>
    <row r="353" spans="1:12" x14ac:dyDescent="0.3">
      <c r="A353" s="1">
        <v>2018</v>
      </c>
      <c r="B353" s="20">
        <f t="shared" si="16"/>
        <v>43343</v>
      </c>
      <c r="C353" s="1">
        <v>64</v>
      </c>
      <c r="D353" s="1" t="s">
        <v>2</v>
      </c>
      <c r="E353" s="2">
        <v>12.95</v>
      </c>
      <c r="F353" s="1" t="s">
        <v>30</v>
      </c>
      <c r="H353" s="21" t="str">
        <f t="shared" si="17"/>
        <v/>
      </c>
      <c r="I353" s="21"/>
      <c r="J353" s="3">
        <v>12.95</v>
      </c>
      <c r="K353" s="1">
        <v>78.02</v>
      </c>
      <c r="L353" s="4">
        <f t="shared" si="15"/>
        <v>1010.3589999999999</v>
      </c>
    </row>
    <row r="354" spans="1:12" x14ac:dyDescent="0.3">
      <c r="A354" s="1">
        <v>2018</v>
      </c>
      <c r="B354" s="20">
        <f t="shared" si="16"/>
        <v>43343</v>
      </c>
      <c r="C354" s="1">
        <v>65</v>
      </c>
      <c r="D354" s="1" t="s">
        <v>2</v>
      </c>
      <c r="E354" s="2">
        <v>8.66</v>
      </c>
      <c r="F354" s="1" t="s">
        <v>30</v>
      </c>
      <c r="H354" s="21" t="str">
        <f t="shared" si="17"/>
        <v/>
      </c>
      <c r="I354" s="21"/>
      <c r="J354" s="3">
        <v>8.66</v>
      </c>
      <c r="K354" s="1">
        <v>81.67</v>
      </c>
      <c r="L354" s="4">
        <f t="shared" si="15"/>
        <v>707.26220000000001</v>
      </c>
    </row>
    <row r="355" spans="1:12" x14ac:dyDescent="0.3">
      <c r="A355" s="1">
        <v>2018</v>
      </c>
      <c r="B355" s="20">
        <f t="shared" si="16"/>
        <v>43343</v>
      </c>
      <c r="C355" s="1">
        <v>66</v>
      </c>
      <c r="D355" s="1" t="s">
        <v>2</v>
      </c>
      <c r="E355" s="2">
        <v>9.23</v>
      </c>
      <c r="F355" s="1" t="s">
        <v>34</v>
      </c>
      <c r="H355" s="21" t="str">
        <f t="shared" si="17"/>
        <v/>
      </c>
      <c r="I355" s="21"/>
      <c r="J355" s="3">
        <v>9.23</v>
      </c>
      <c r="K355" s="1">
        <v>76.63</v>
      </c>
      <c r="L355" s="4">
        <f t="shared" si="15"/>
        <v>707.29489999999998</v>
      </c>
    </row>
    <row r="356" spans="1:12" x14ac:dyDescent="0.3">
      <c r="A356" s="1">
        <v>2018</v>
      </c>
      <c r="B356" s="20">
        <f t="shared" si="16"/>
        <v>43343</v>
      </c>
      <c r="C356" s="1">
        <v>67</v>
      </c>
      <c r="D356" s="1" t="s">
        <v>2</v>
      </c>
      <c r="E356" s="2">
        <v>13.83</v>
      </c>
      <c r="F356" s="1" t="s">
        <v>34</v>
      </c>
      <c r="H356" s="21" t="str">
        <f t="shared" si="17"/>
        <v/>
      </c>
      <c r="I356" s="21"/>
      <c r="J356" s="3">
        <v>13.83</v>
      </c>
      <c r="K356" s="1">
        <v>73.06</v>
      </c>
      <c r="L356" s="4">
        <f t="shared" si="15"/>
        <v>1010.4198</v>
      </c>
    </row>
    <row r="357" spans="1:12" x14ac:dyDescent="0.3">
      <c r="A357" s="1">
        <v>2018</v>
      </c>
      <c r="B357" s="20">
        <f t="shared" si="16"/>
        <v>43343</v>
      </c>
      <c r="C357" s="1">
        <v>69</v>
      </c>
      <c r="D357" s="1" t="s">
        <v>2</v>
      </c>
      <c r="E357" s="2">
        <v>7.18</v>
      </c>
      <c r="F357" s="1" t="s">
        <v>34</v>
      </c>
      <c r="H357" s="21" t="str">
        <f t="shared" si="17"/>
        <v/>
      </c>
      <c r="I357" s="21"/>
      <c r="J357" s="3">
        <v>7.18</v>
      </c>
      <c r="K357" s="1">
        <v>70.36</v>
      </c>
      <c r="L357" s="4">
        <f t="shared" si="15"/>
        <v>505.1848</v>
      </c>
    </row>
    <row r="358" spans="1:12" x14ac:dyDescent="0.3">
      <c r="A358" s="1">
        <v>2018</v>
      </c>
      <c r="B358" s="20">
        <f t="shared" si="16"/>
        <v>43343</v>
      </c>
      <c r="C358" s="1">
        <v>73</v>
      </c>
      <c r="D358" s="1" t="s">
        <v>2</v>
      </c>
      <c r="E358" s="2">
        <v>5.8</v>
      </c>
      <c r="F358" s="1" t="s">
        <v>33</v>
      </c>
      <c r="H358" s="21" t="str">
        <f t="shared" si="17"/>
        <v/>
      </c>
      <c r="I358" s="21"/>
      <c r="J358" s="3">
        <v>5.8</v>
      </c>
      <c r="K358" s="1">
        <v>69.75</v>
      </c>
      <c r="L358" s="4">
        <f t="shared" si="15"/>
        <v>404.55</v>
      </c>
    </row>
    <row r="359" spans="1:12" x14ac:dyDescent="0.3">
      <c r="A359" s="1">
        <v>2018</v>
      </c>
      <c r="B359" s="20">
        <f t="shared" si="16"/>
        <v>43343</v>
      </c>
      <c r="C359" s="1">
        <v>74</v>
      </c>
      <c r="D359" s="1" t="s">
        <v>2</v>
      </c>
      <c r="E359" s="2">
        <v>8.66</v>
      </c>
      <c r="F359" s="1" t="s">
        <v>33</v>
      </c>
      <c r="H359" s="21" t="str">
        <f t="shared" si="17"/>
        <v/>
      </c>
      <c r="I359" s="21"/>
      <c r="J359" s="3">
        <v>8.66</v>
      </c>
      <c r="K359" s="1">
        <v>83.39</v>
      </c>
      <c r="L359" s="4">
        <f t="shared" si="15"/>
        <v>722.15740000000005</v>
      </c>
    </row>
    <row r="360" spans="1:12" x14ac:dyDescent="0.3">
      <c r="A360" s="1">
        <v>2018</v>
      </c>
      <c r="B360" s="20">
        <f t="shared" si="16"/>
        <v>43343</v>
      </c>
      <c r="C360" s="1">
        <v>75</v>
      </c>
      <c r="D360" s="1" t="s">
        <v>2</v>
      </c>
      <c r="E360" s="2">
        <v>5.63</v>
      </c>
      <c r="F360" s="1" t="s">
        <v>33</v>
      </c>
      <c r="H360" s="21" t="str">
        <f t="shared" si="17"/>
        <v/>
      </c>
      <c r="I360" s="21"/>
      <c r="J360" s="3">
        <v>5.63</v>
      </c>
      <c r="K360" s="1">
        <v>73.290000000000006</v>
      </c>
      <c r="L360" s="4">
        <f t="shared" si="15"/>
        <v>412.62270000000001</v>
      </c>
    </row>
    <row r="361" spans="1:12" x14ac:dyDescent="0.3">
      <c r="A361" s="1">
        <v>2018</v>
      </c>
      <c r="B361" s="20">
        <f t="shared" si="16"/>
        <v>43343</v>
      </c>
      <c r="C361" s="1">
        <v>76</v>
      </c>
      <c r="D361" s="1" t="s">
        <v>2</v>
      </c>
      <c r="E361" s="2">
        <v>3.21</v>
      </c>
      <c r="F361" s="1" t="s">
        <v>33</v>
      </c>
      <c r="H361" s="21" t="str">
        <f t="shared" si="17"/>
        <v/>
      </c>
      <c r="I361" s="21"/>
      <c r="J361" s="3">
        <v>3.21</v>
      </c>
      <c r="K361" s="1">
        <v>96.39</v>
      </c>
      <c r="L361" s="4">
        <f t="shared" si="15"/>
        <v>309.4119</v>
      </c>
    </row>
    <row r="362" spans="1:12" x14ac:dyDescent="0.3">
      <c r="A362" s="1">
        <v>2018</v>
      </c>
      <c r="B362" s="20">
        <f t="shared" si="16"/>
        <v>43343</v>
      </c>
      <c r="C362" s="1">
        <v>77</v>
      </c>
      <c r="D362" s="1" t="s">
        <v>2</v>
      </c>
      <c r="E362" s="2">
        <v>9.0299999999999994</v>
      </c>
      <c r="F362" s="1" t="s">
        <v>33</v>
      </c>
      <c r="H362" s="21" t="str">
        <f t="shared" si="17"/>
        <v/>
      </c>
      <c r="I362" s="21"/>
      <c r="J362" s="3">
        <v>9.0299999999999994</v>
      </c>
      <c r="K362" s="1">
        <v>91.4</v>
      </c>
      <c r="L362" s="4">
        <f t="shared" si="15"/>
        <v>825.34199999999998</v>
      </c>
    </row>
    <row r="363" spans="1:12" x14ac:dyDescent="0.3">
      <c r="A363" s="1">
        <v>2018</v>
      </c>
      <c r="B363" s="20">
        <f t="shared" si="16"/>
        <v>43343</v>
      </c>
      <c r="C363" s="1">
        <v>78</v>
      </c>
      <c r="D363" s="1" t="s">
        <v>2</v>
      </c>
      <c r="E363" s="2">
        <v>3.88</v>
      </c>
      <c r="F363" s="1" t="s">
        <v>33</v>
      </c>
      <c r="H363" s="21" t="str">
        <f t="shared" si="17"/>
        <v/>
      </c>
      <c r="I363" s="21"/>
      <c r="J363" s="3">
        <v>3.88</v>
      </c>
      <c r="K363" s="1">
        <v>79.75</v>
      </c>
      <c r="L363" s="4">
        <f t="shared" si="15"/>
        <v>309.43</v>
      </c>
    </row>
    <row r="364" spans="1:12" x14ac:dyDescent="0.3">
      <c r="A364" s="1">
        <v>2018</v>
      </c>
      <c r="B364" s="20">
        <f t="shared" si="16"/>
        <v>43343</v>
      </c>
      <c r="C364" s="1">
        <v>79</v>
      </c>
      <c r="D364" s="1" t="s">
        <v>2</v>
      </c>
      <c r="E364" s="2">
        <v>5.55</v>
      </c>
      <c r="F364" s="1" t="s">
        <v>30</v>
      </c>
      <c r="H364" s="21" t="str">
        <f t="shared" si="17"/>
        <v/>
      </c>
      <c r="I364" s="21"/>
      <c r="J364" s="3">
        <v>5.55</v>
      </c>
      <c r="K364" s="1">
        <v>67.900000000000006</v>
      </c>
      <c r="L364" s="4">
        <f t="shared" si="15"/>
        <v>376.84500000000003</v>
      </c>
    </row>
    <row r="365" spans="1:12" x14ac:dyDescent="0.3">
      <c r="A365" s="1">
        <v>2018</v>
      </c>
      <c r="B365" s="20">
        <f t="shared" si="16"/>
        <v>43343</v>
      </c>
      <c r="C365" s="1">
        <v>80</v>
      </c>
      <c r="D365" s="1" t="s">
        <v>2</v>
      </c>
      <c r="E365" s="2">
        <v>7.3</v>
      </c>
      <c r="F365" s="1" t="s">
        <v>33</v>
      </c>
      <c r="H365" s="21" t="str">
        <f t="shared" si="17"/>
        <v/>
      </c>
      <c r="I365" s="21"/>
      <c r="J365" s="3">
        <v>7.3</v>
      </c>
      <c r="K365" s="1">
        <v>64.53</v>
      </c>
      <c r="L365" s="4">
        <f t="shared" si="15"/>
        <v>471.06900000000002</v>
      </c>
    </row>
    <row r="366" spans="1:12" x14ac:dyDescent="0.3">
      <c r="A366" s="1">
        <v>2018</v>
      </c>
      <c r="B366" s="20">
        <f t="shared" si="16"/>
        <v>43343</v>
      </c>
      <c r="C366" s="1">
        <v>81</v>
      </c>
      <c r="D366" s="1" t="s">
        <v>2</v>
      </c>
      <c r="E366" s="2">
        <v>5.89</v>
      </c>
      <c r="F366" s="1" t="s">
        <v>33</v>
      </c>
      <c r="H366" s="21" t="str">
        <f t="shared" si="17"/>
        <v/>
      </c>
      <c r="I366" s="21"/>
      <c r="J366" s="3">
        <v>5.89</v>
      </c>
      <c r="K366" s="1">
        <v>63.98</v>
      </c>
      <c r="L366" s="4">
        <f t="shared" si="15"/>
        <v>376.84219999999993</v>
      </c>
    </row>
    <row r="367" spans="1:12" x14ac:dyDescent="0.3">
      <c r="A367" s="1">
        <v>2018</v>
      </c>
      <c r="B367" s="20">
        <f t="shared" si="16"/>
        <v>43343</v>
      </c>
      <c r="C367" s="1">
        <v>82</v>
      </c>
      <c r="D367" s="1" t="s">
        <v>2</v>
      </c>
      <c r="E367" s="2">
        <v>5.46</v>
      </c>
      <c r="F367" s="1" t="s">
        <v>33</v>
      </c>
      <c r="H367" s="21" t="str">
        <f t="shared" si="17"/>
        <v/>
      </c>
      <c r="I367" s="21"/>
      <c r="J367" s="3">
        <v>5.46</v>
      </c>
      <c r="K367" s="1">
        <v>69.06</v>
      </c>
      <c r="L367" s="4">
        <f t="shared" si="15"/>
        <v>377.06760000000003</v>
      </c>
    </row>
    <row r="368" spans="1:12" x14ac:dyDescent="0.3">
      <c r="A368" s="1">
        <v>2018</v>
      </c>
      <c r="B368" s="20">
        <f t="shared" si="16"/>
        <v>43343</v>
      </c>
      <c r="C368" s="1">
        <v>83</v>
      </c>
      <c r="D368" s="1" t="s">
        <v>2</v>
      </c>
      <c r="E368" s="2">
        <v>7.86</v>
      </c>
      <c r="F368" s="1" t="s">
        <v>32</v>
      </c>
      <c r="H368" s="21" t="str">
        <f t="shared" si="17"/>
        <v/>
      </c>
      <c r="I368" s="21"/>
      <c r="J368" s="3">
        <v>7.86</v>
      </c>
      <c r="K368" s="1">
        <v>107.52</v>
      </c>
      <c r="L368" s="4">
        <f t="shared" si="15"/>
        <v>845.10720000000003</v>
      </c>
    </row>
    <row r="369" spans="1:12" x14ac:dyDescent="0.3">
      <c r="A369" s="1">
        <v>2018</v>
      </c>
      <c r="B369" s="20">
        <f t="shared" si="16"/>
        <v>43343</v>
      </c>
      <c r="C369" s="1">
        <v>84</v>
      </c>
      <c r="D369" s="1" t="s">
        <v>2</v>
      </c>
      <c r="E369" s="2">
        <v>8.4600000000000009</v>
      </c>
      <c r="F369" s="1" t="s">
        <v>32</v>
      </c>
      <c r="H369" s="21" t="str">
        <f t="shared" si="17"/>
        <v/>
      </c>
      <c r="I369" s="21"/>
      <c r="J369" s="3">
        <v>8.4600000000000009</v>
      </c>
      <c r="K369" s="1">
        <v>104.8</v>
      </c>
      <c r="L369" s="4">
        <f t="shared" si="15"/>
        <v>886.60800000000006</v>
      </c>
    </row>
    <row r="370" spans="1:12" x14ac:dyDescent="0.3">
      <c r="A370" s="1">
        <v>2018</v>
      </c>
      <c r="B370" s="20">
        <f t="shared" si="16"/>
        <v>43343</v>
      </c>
      <c r="C370" s="1">
        <v>85</v>
      </c>
      <c r="D370" s="1" t="s">
        <v>2</v>
      </c>
      <c r="E370" s="2">
        <v>3.31</v>
      </c>
      <c r="F370" s="1" t="s">
        <v>32</v>
      </c>
      <c r="H370" s="21" t="str">
        <f t="shared" si="17"/>
        <v/>
      </c>
      <c r="I370" s="21"/>
      <c r="J370" s="3">
        <v>3.31</v>
      </c>
      <c r="K370" s="1">
        <v>95.79</v>
      </c>
      <c r="L370" s="4">
        <f t="shared" si="15"/>
        <v>317.06490000000002</v>
      </c>
    </row>
    <row r="371" spans="1:12" x14ac:dyDescent="0.3">
      <c r="A371" s="1">
        <v>2018</v>
      </c>
      <c r="B371" s="20">
        <f t="shared" si="16"/>
        <v>43343</v>
      </c>
      <c r="C371" s="1">
        <v>86</v>
      </c>
      <c r="D371" s="1" t="s">
        <v>2</v>
      </c>
      <c r="E371" s="2">
        <v>2.6</v>
      </c>
      <c r="F371" s="1" t="s">
        <v>32</v>
      </c>
      <c r="H371" s="21" t="str">
        <f t="shared" si="17"/>
        <v/>
      </c>
      <c r="I371" s="21"/>
      <c r="J371" s="3">
        <v>2.6</v>
      </c>
      <c r="K371" s="1">
        <v>94.56</v>
      </c>
      <c r="L371" s="4">
        <f t="shared" si="15"/>
        <v>245.85600000000002</v>
      </c>
    </row>
    <row r="372" spans="1:12" x14ac:dyDescent="0.3">
      <c r="A372" s="1">
        <v>2018</v>
      </c>
      <c r="B372" s="20">
        <f t="shared" si="16"/>
        <v>43343</v>
      </c>
      <c r="C372" s="1">
        <v>87</v>
      </c>
      <c r="D372" s="1" t="s">
        <v>2</v>
      </c>
      <c r="E372" s="2">
        <v>20.41</v>
      </c>
      <c r="F372" s="1" t="s">
        <v>32</v>
      </c>
      <c r="H372" s="21" t="str">
        <f t="shared" si="17"/>
        <v/>
      </c>
      <c r="I372" s="21"/>
      <c r="J372" s="3">
        <v>20.41</v>
      </c>
      <c r="K372" s="1">
        <v>54.56</v>
      </c>
      <c r="L372" s="4">
        <f t="shared" si="15"/>
        <v>1113.5696</v>
      </c>
    </row>
    <row r="373" spans="1:12" x14ac:dyDescent="0.3">
      <c r="A373" s="1">
        <v>2018</v>
      </c>
      <c r="B373" s="20">
        <f t="shared" si="16"/>
        <v>43343</v>
      </c>
      <c r="C373" s="1">
        <v>88</v>
      </c>
      <c r="D373" s="1" t="s">
        <v>12</v>
      </c>
      <c r="E373" s="2">
        <v>4.16</v>
      </c>
      <c r="F373" s="1" t="s">
        <v>32</v>
      </c>
      <c r="H373" s="21" t="str">
        <f t="shared" si="17"/>
        <v/>
      </c>
      <c r="I373" s="21"/>
      <c r="J373" s="3">
        <v>4.16</v>
      </c>
      <c r="K373" s="1">
        <v>46.25</v>
      </c>
      <c r="L373" s="4">
        <f t="shared" si="15"/>
        <v>192.4</v>
      </c>
    </row>
    <row r="374" spans="1:12" x14ac:dyDescent="0.3">
      <c r="A374" s="1">
        <v>2018</v>
      </c>
      <c r="B374" s="20">
        <f t="shared" si="16"/>
        <v>43343</v>
      </c>
      <c r="C374" s="1">
        <v>89</v>
      </c>
      <c r="D374" s="1" t="s">
        <v>12</v>
      </c>
      <c r="E374" s="2">
        <v>3.3</v>
      </c>
      <c r="F374" s="1" t="s">
        <v>32</v>
      </c>
      <c r="H374" s="21" t="str">
        <f t="shared" si="17"/>
        <v/>
      </c>
      <c r="I374" s="21"/>
      <c r="J374" s="3">
        <v>3.3</v>
      </c>
      <c r="K374" s="1">
        <v>58.93</v>
      </c>
      <c r="L374" s="4">
        <f t="shared" si="15"/>
        <v>194.46899999999999</v>
      </c>
    </row>
    <row r="375" spans="1:12" x14ac:dyDescent="0.3">
      <c r="A375" s="1">
        <v>2018</v>
      </c>
      <c r="B375" s="20">
        <f t="shared" si="16"/>
        <v>43343</v>
      </c>
      <c r="C375" s="1">
        <v>90</v>
      </c>
      <c r="D375" s="1" t="s">
        <v>12</v>
      </c>
      <c r="E375" s="2">
        <v>9.75</v>
      </c>
      <c r="F375" s="1" t="s">
        <v>32</v>
      </c>
      <c r="H375" s="21" t="str">
        <f t="shared" si="17"/>
        <v/>
      </c>
      <c r="I375" s="21"/>
      <c r="J375" s="3">
        <v>9.75</v>
      </c>
      <c r="K375" s="1">
        <v>55.73</v>
      </c>
      <c r="L375" s="4">
        <f t="shared" si="15"/>
        <v>543.36749999999995</v>
      </c>
    </row>
    <row r="376" spans="1:12" x14ac:dyDescent="0.3">
      <c r="A376" s="1">
        <v>2018</v>
      </c>
      <c r="B376" s="20">
        <f t="shared" si="16"/>
        <v>43343</v>
      </c>
      <c r="C376" s="1">
        <v>91</v>
      </c>
      <c r="D376" s="1" t="s">
        <v>25</v>
      </c>
      <c r="E376" s="2">
        <v>48.55</v>
      </c>
      <c r="F376" s="1" t="s">
        <v>28</v>
      </c>
      <c r="H376" s="21" t="str">
        <f t="shared" si="17"/>
        <v/>
      </c>
      <c r="I376" s="21"/>
      <c r="J376" s="3">
        <v>48.55</v>
      </c>
      <c r="K376" s="1">
        <v>95.66</v>
      </c>
      <c r="L376" s="4">
        <f t="shared" si="15"/>
        <v>4644.2929999999997</v>
      </c>
    </row>
    <row r="377" spans="1:12" x14ac:dyDescent="0.3">
      <c r="A377" s="1">
        <v>2019</v>
      </c>
      <c r="B377" s="20">
        <f t="shared" si="16"/>
        <v>43708</v>
      </c>
      <c r="C377" s="1">
        <v>1</v>
      </c>
      <c r="D377" s="1" t="s">
        <v>25</v>
      </c>
      <c r="E377" s="2">
        <v>16.64</v>
      </c>
      <c r="F377" s="1" t="s">
        <v>28</v>
      </c>
      <c r="H377" s="21" t="str">
        <f t="shared" si="17"/>
        <v/>
      </c>
      <c r="I377" s="21"/>
      <c r="J377" s="3">
        <v>16.64</v>
      </c>
      <c r="K377" s="1">
        <v>112.66</v>
      </c>
      <c r="L377" s="4">
        <f t="shared" si="15"/>
        <v>1874.6623999999999</v>
      </c>
    </row>
    <row r="378" spans="1:12" x14ac:dyDescent="0.3">
      <c r="A378" s="1">
        <v>2019</v>
      </c>
      <c r="B378" s="20">
        <f t="shared" si="16"/>
        <v>43708</v>
      </c>
      <c r="C378" s="1">
        <v>2</v>
      </c>
      <c r="D378" s="1" t="s">
        <v>25</v>
      </c>
      <c r="E378" s="2">
        <v>24.52</v>
      </c>
      <c r="F378" s="1" t="s">
        <v>28</v>
      </c>
      <c r="H378" s="21" t="str">
        <f t="shared" si="17"/>
        <v/>
      </c>
      <c r="I378" s="21"/>
      <c r="J378" s="3">
        <v>24.52</v>
      </c>
      <c r="K378" s="1">
        <v>108.89</v>
      </c>
      <c r="L378" s="4">
        <f t="shared" si="15"/>
        <v>2669.9827999999998</v>
      </c>
    </row>
    <row r="379" spans="1:12" x14ac:dyDescent="0.3">
      <c r="A379" s="1">
        <v>2019</v>
      </c>
      <c r="B379" s="20">
        <f t="shared" si="16"/>
        <v>43708</v>
      </c>
      <c r="C379" s="1">
        <v>3</v>
      </c>
      <c r="D379" s="1" t="s">
        <v>24</v>
      </c>
      <c r="E379" s="2">
        <v>10.58</v>
      </c>
      <c r="F379" s="1" t="s">
        <v>34</v>
      </c>
      <c r="H379" s="21" t="str">
        <f t="shared" si="17"/>
        <v/>
      </c>
      <c r="I379" s="21"/>
      <c r="J379" s="3">
        <v>10.58</v>
      </c>
      <c r="K379" s="1">
        <v>7.86</v>
      </c>
      <c r="L379" s="4">
        <f t="shared" si="15"/>
        <v>83.158799999999999</v>
      </c>
    </row>
    <row r="380" spans="1:12" x14ac:dyDescent="0.3">
      <c r="A380" s="1">
        <v>2019</v>
      </c>
      <c r="B380" s="20">
        <f t="shared" si="16"/>
        <v>43708</v>
      </c>
      <c r="C380" s="1">
        <v>4</v>
      </c>
      <c r="D380" s="1" t="s">
        <v>24</v>
      </c>
      <c r="E380" s="2">
        <v>9.76</v>
      </c>
      <c r="F380" s="1" t="s">
        <v>34</v>
      </c>
      <c r="H380" s="21" t="str">
        <f t="shared" si="17"/>
        <v/>
      </c>
      <c r="I380" s="21"/>
      <c r="J380" s="3">
        <v>9.76</v>
      </c>
      <c r="K380" s="1">
        <v>1.95</v>
      </c>
      <c r="L380" s="4">
        <f t="shared" si="15"/>
        <v>19.032</v>
      </c>
    </row>
    <row r="381" spans="1:12" x14ac:dyDescent="0.3">
      <c r="A381" s="1">
        <v>2019</v>
      </c>
      <c r="B381" s="20">
        <f t="shared" si="16"/>
        <v>43708</v>
      </c>
      <c r="C381" s="1">
        <v>5</v>
      </c>
      <c r="D381" s="1" t="s">
        <v>2</v>
      </c>
      <c r="E381" s="2">
        <v>12.65</v>
      </c>
      <c r="F381" s="1" t="s">
        <v>34</v>
      </c>
      <c r="H381" s="21" t="str">
        <f t="shared" si="17"/>
        <v/>
      </c>
      <c r="I381" s="21"/>
      <c r="J381" s="3">
        <v>12.65</v>
      </c>
      <c r="K381" s="1">
        <v>62.1</v>
      </c>
      <c r="L381" s="4">
        <f t="shared" si="15"/>
        <v>785.56500000000005</v>
      </c>
    </row>
    <row r="382" spans="1:12" x14ac:dyDescent="0.3">
      <c r="A382" s="1">
        <v>2019</v>
      </c>
      <c r="B382" s="20">
        <f t="shared" si="16"/>
        <v>43708</v>
      </c>
      <c r="C382" s="1">
        <v>6</v>
      </c>
      <c r="D382" s="1" t="s">
        <v>2</v>
      </c>
      <c r="E382" s="2">
        <v>18.3</v>
      </c>
      <c r="F382" s="1" t="s">
        <v>34</v>
      </c>
      <c r="H382" s="21" t="str">
        <f t="shared" si="17"/>
        <v/>
      </c>
      <c r="I382" s="21"/>
      <c r="J382" s="3">
        <v>18.3</v>
      </c>
      <c r="K382" s="1">
        <v>64.39</v>
      </c>
      <c r="L382" s="4">
        <f t="shared" si="15"/>
        <v>1178.337</v>
      </c>
    </row>
    <row r="383" spans="1:12" x14ac:dyDescent="0.3">
      <c r="A383" s="1">
        <v>2019</v>
      </c>
      <c r="B383" s="20">
        <f t="shared" si="16"/>
        <v>43708</v>
      </c>
      <c r="C383" s="1">
        <v>7</v>
      </c>
      <c r="D383" s="1" t="s">
        <v>2</v>
      </c>
      <c r="E383" s="2">
        <v>9.98</v>
      </c>
      <c r="F383" s="1" t="s">
        <v>34</v>
      </c>
      <c r="H383" s="21" t="str">
        <f t="shared" si="17"/>
        <v/>
      </c>
      <c r="I383" s="21"/>
      <c r="J383" s="3">
        <v>9.98</v>
      </c>
      <c r="K383" s="1">
        <v>68.87</v>
      </c>
      <c r="L383" s="4">
        <f t="shared" si="15"/>
        <v>687.32260000000008</v>
      </c>
    </row>
    <row r="384" spans="1:12" x14ac:dyDescent="0.3">
      <c r="A384" s="1">
        <v>2019</v>
      </c>
      <c r="B384" s="20">
        <f t="shared" si="16"/>
        <v>43708</v>
      </c>
      <c r="C384" s="1">
        <v>8</v>
      </c>
      <c r="D384" s="1" t="s">
        <v>24</v>
      </c>
      <c r="E384" s="2">
        <v>8.17</v>
      </c>
      <c r="F384" s="1" t="s">
        <v>34</v>
      </c>
      <c r="H384" s="21" t="str">
        <f t="shared" si="17"/>
        <v/>
      </c>
      <c r="I384" s="21"/>
      <c r="J384" s="3">
        <v>8.17</v>
      </c>
      <c r="K384" s="1">
        <v>72.11</v>
      </c>
      <c r="L384" s="4">
        <f t="shared" si="15"/>
        <v>589.13869999999997</v>
      </c>
    </row>
    <row r="385" spans="1:12" x14ac:dyDescent="0.3">
      <c r="A385" s="1">
        <v>2019</v>
      </c>
      <c r="B385" s="20">
        <f t="shared" si="16"/>
        <v>43708</v>
      </c>
      <c r="C385" s="1">
        <v>9</v>
      </c>
      <c r="D385" s="1" t="s">
        <v>24</v>
      </c>
      <c r="E385" s="2">
        <v>14.39</v>
      </c>
      <c r="F385" s="1" t="s">
        <v>34</v>
      </c>
      <c r="H385" s="21" t="str">
        <f t="shared" si="17"/>
        <v/>
      </c>
      <c r="I385" s="21"/>
      <c r="J385" s="3">
        <v>14.39</v>
      </c>
      <c r="K385" s="1">
        <v>68.27</v>
      </c>
      <c r="L385" s="4">
        <f t="shared" si="15"/>
        <v>982.40530000000001</v>
      </c>
    </row>
    <row r="386" spans="1:12" x14ac:dyDescent="0.3">
      <c r="A386" s="1">
        <v>2019</v>
      </c>
      <c r="B386" s="20">
        <f t="shared" si="16"/>
        <v>43708</v>
      </c>
      <c r="C386" s="1">
        <v>10</v>
      </c>
      <c r="D386" s="1" t="s">
        <v>2</v>
      </c>
      <c r="E386" s="2">
        <v>6.43</v>
      </c>
      <c r="F386" s="1" t="s">
        <v>34</v>
      </c>
      <c r="H386" s="21" t="str">
        <f t="shared" si="17"/>
        <v/>
      </c>
      <c r="I386" s="21"/>
      <c r="J386" s="3">
        <v>6.43</v>
      </c>
      <c r="K386" s="1">
        <v>44.93</v>
      </c>
      <c r="L386" s="4">
        <f t="shared" ref="L386:L449" si="18">J386*K386</f>
        <v>288.8999</v>
      </c>
    </row>
    <row r="387" spans="1:12" x14ac:dyDescent="0.3">
      <c r="A387" s="1">
        <v>2019</v>
      </c>
      <c r="B387" s="20">
        <f t="shared" ref="B387:B450" si="19">IF(A387="","",DATE(A387,8,31))</f>
        <v>43708</v>
      </c>
      <c r="C387" s="1">
        <v>12</v>
      </c>
      <c r="D387" s="1" t="s">
        <v>2</v>
      </c>
      <c r="E387" s="2">
        <v>4.66</v>
      </c>
      <c r="F387" s="1" t="s">
        <v>34</v>
      </c>
      <c r="H387" s="21" t="str">
        <f t="shared" ref="H387:H450" si="20">IF(OR(G387="",B387=""),"",DATEDIF(G387,B387,"m"))</f>
        <v/>
      </c>
      <c r="I387" s="21"/>
      <c r="J387" s="3">
        <v>4.66</v>
      </c>
      <c r="K387" s="1">
        <v>49.59</v>
      </c>
      <c r="L387" s="4">
        <f t="shared" si="18"/>
        <v>231.08940000000001</v>
      </c>
    </row>
    <row r="388" spans="1:12" x14ac:dyDescent="0.3">
      <c r="A388" s="1">
        <v>2019</v>
      </c>
      <c r="B388" s="20">
        <f t="shared" si="19"/>
        <v>43708</v>
      </c>
      <c r="C388" s="1">
        <v>14</v>
      </c>
      <c r="D388" s="1" t="s">
        <v>2</v>
      </c>
      <c r="E388" s="2">
        <v>7.2</v>
      </c>
      <c r="F388" s="1" t="s">
        <v>34</v>
      </c>
      <c r="H388" s="21" t="str">
        <f t="shared" si="20"/>
        <v/>
      </c>
      <c r="I388" s="21"/>
      <c r="J388" s="3">
        <v>7.2</v>
      </c>
      <c r="K388" s="1">
        <v>25.33</v>
      </c>
      <c r="L388" s="4">
        <f t="shared" si="18"/>
        <v>182.376</v>
      </c>
    </row>
    <row r="389" spans="1:12" x14ac:dyDescent="0.3">
      <c r="A389" s="1">
        <v>2019</v>
      </c>
      <c r="B389" s="20">
        <f t="shared" si="19"/>
        <v>43708</v>
      </c>
      <c r="C389" s="1">
        <v>15</v>
      </c>
      <c r="D389" s="1" t="s">
        <v>3</v>
      </c>
      <c r="E389" s="2">
        <v>9.85</v>
      </c>
      <c r="F389" s="1" t="s">
        <v>34</v>
      </c>
      <c r="H389" s="21" t="str">
        <f t="shared" si="20"/>
        <v/>
      </c>
      <c r="I389" s="21"/>
      <c r="J389" s="3">
        <v>9.85</v>
      </c>
      <c r="K389" s="1">
        <v>54.16</v>
      </c>
      <c r="L389" s="4">
        <f t="shared" si="18"/>
        <v>533.476</v>
      </c>
    </row>
    <row r="390" spans="1:12" x14ac:dyDescent="0.3">
      <c r="A390" s="1">
        <v>2019</v>
      </c>
      <c r="B390" s="20">
        <f t="shared" si="19"/>
        <v>43708</v>
      </c>
      <c r="C390" s="1">
        <v>16</v>
      </c>
      <c r="D390" s="1" t="s">
        <v>3</v>
      </c>
      <c r="E390" s="2">
        <v>12.88</v>
      </c>
      <c r="F390" s="1" t="s">
        <v>34</v>
      </c>
      <c r="H390" s="21" t="str">
        <f t="shared" si="20"/>
        <v/>
      </c>
      <c r="I390" s="21"/>
      <c r="J390" s="3">
        <v>12.88</v>
      </c>
      <c r="K390" s="1">
        <v>94.09</v>
      </c>
      <c r="L390" s="4">
        <f t="shared" si="18"/>
        <v>1211.8792000000001</v>
      </c>
    </row>
    <row r="391" spans="1:12" x14ac:dyDescent="0.3">
      <c r="A391" s="1">
        <v>2019</v>
      </c>
      <c r="B391" s="20">
        <f t="shared" si="19"/>
        <v>43708</v>
      </c>
      <c r="C391" s="1">
        <v>17</v>
      </c>
      <c r="D391" s="1" t="s">
        <v>2</v>
      </c>
      <c r="E391" s="2">
        <v>9.4499999999999993</v>
      </c>
      <c r="F391" s="1" t="s">
        <v>34</v>
      </c>
      <c r="H391" s="21" t="str">
        <f t="shared" si="20"/>
        <v/>
      </c>
      <c r="I391" s="21"/>
      <c r="J391" s="3">
        <v>9.4499999999999993</v>
      </c>
      <c r="K391" s="1">
        <v>94.49</v>
      </c>
      <c r="L391" s="4">
        <f t="shared" si="18"/>
        <v>892.93049999999994</v>
      </c>
    </row>
    <row r="392" spans="1:12" x14ac:dyDescent="0.3">
      <c r="A392" s="1">
        <v>2019</v>
      </c>
      <c r="B392" s="20">
        <f t="shared" si="19"/>
        <v>43708</v>
      </c>
      <c r="C392" s="1">
        <v>18</v>
      </c>
      <c r="D392" s="1" t="s">
        <v>25</v>
      </c>
      <c r="E392" s="2">
        <v>4.37</v>
      </c>
      <c r="F392" s="1" t="s">
        <v>28</v>
      </c>
      <c r="H392" s="21" t="str">
        <f t="shared" si="20"/>
        <v/>
      </c>
      <c r="I392" s="21"/>
      <c r="J392" s="3">
        <v>4.37</v>
      </c>
      <c r="K392" s="1">
        <v>48.32</v>
      </c>
      <c r="L392" s="4">
        <f t="shared" si="18"/>
        <v>211.1584</v>
      </c>
    </row>
    <row r="393" spans="1:12" x14ac:dyDescent="0.3">
      <c r="A393" s="1">
        <v>2019</v>
      </c>
      <c r="B393" s="20">
        <f t="shared" si="19"/>
        <v>43708</v>
      </c>
      <c r="C393" s="1">
        <v>19</v>
      </c>
      <c r="D393" s="1" t="s">
        <v>25</v>
      </c>
      <c r="E393" s="2">
        <v>13.15</v>
      </c>
      <c r="F393" s="1" t="s">
        <v>28</v>
      </c>
      <c r="H393" s="21" t="str">
        <f t="shared" si="20"/>
        <v/>
      </c>
      <c r="I393" s="21"/>
      <c r="J393" s="3">
        <v>13.15</v>
      </c>
      <c r="K393" s="1">
        <v>33.28</v>
      </c>
      <c r="L393" s="4">
        <f t="shared" si="18"/>
        <v>437.63200000000001</v>
      </c>
    </row>
    <row r="394" spans="1:12" x14ac:dyDescent="0.3">
      <c r="A394" s="1">
        <v>2019</v>
      </c>
      <c r="B394" s="20">
        <f t="shared" si="19"/>
        <v>43708</v>
      </c>
      <c r="C394" s="1">
        <v>20</v>
      </c>
      <c r="D394" s="1" t="s">
        <v>2</v>
      </c>
      <c r="E394" s="2">
        <v>4.95</v>
      </c>
      <c r="F394" s="1" t="s">
        <v>34</v>
      </c>
      <c r="G394" s="20">
        <v>41334</v>
      </c>
      <c r="H394" s="21">
        <f t="shared" si="20"/>
        <v>77</v>
      </c>
      <c r="I394" s="24">
        <f>H394/12</f>
        <v>6.416666666666667</v>
      </c>
      <c r="J394" s="3">
        <v>4.95</v>
      </c>
      <c r="K394" s="1">
        <v>34.43</v>
      </c>
      <c r="L394" s="4">
        <f t="shared" si="18"/>
        <v>170.42850000000001</v>
      </c>
    </row>
    <row r="395" spans="1:12" x14ac:dyDescent="0.3">
      <c r="A395" s="1">
        <v>2019</v>
      </c>
      <c r="B395" s="20">
        <f t="shared" si="19"/>
        <v>43708</v>
      </c>
      <c r="C395" s="1">
        <v>21</v>
      </c>
      <c r="D395" s="1" t="s">
        <v>25</v>
      </c>
      <c r="E395" s="2">
        <v>21.59</v>
      </c>
      <c r="F395" s="1" t="s">
        <v>28</v>
      </c>
      <c r="H395" s="21" t="str">
        <f t="shared" si="20"/>
        <v/>
      </c>
      <c r="I395" s="21"/>
      <c r="J395" s="3">
        <v>21.59</v>
      </c>
      <c r="K395" s="1">
        <v>27.64</v>
      </c>
      <c r="L395" s="4">
        <f t="shared" si="18"/>
        <v>596.74760000000003</v>
      </c>
    </row>
    <row r="396" spans="1:12" x14ac:dyDescent="0.3">
      <c r="A396" s="1">
        <v>2019</v>
      </c>
      <c r="B396" s="20">
        <f t="shared" si="19"/>
        <v>43708</v>
      </c>
      <c r="C396" s="1">
        <v>22</v>
      </c>
      <c r="D396" s="1" t="s">
        <v>25</v>
      </c>
      <c r="E396" s="2">
        <v>19.98</v>
      </c>
      <c r="F396" s="1" t="s">
        <v>28</v>
      </c>
      <c r="H396" s="21" t="str">
        <f t="shared" si="20"/>
        <v/>
      </c>
      <c r="I396" s="21"/>
      <c r="J396" s="3">
        <v>19.98</v>
      </c>
      <c r="K396" s="1">
        <v>123.6</v>
      </c>
      <c r="L396" s="4">
        <f t="shared" si="18"/>
        <v>2469.5279999999998</v>
      </c>
    </row>
    <row r="397" spans="1:12" x14ac:dyDescent="0.3">
      <c r="A397" s="1">
        <v>2019</v>
      </c>
      <c r="B397" s="20">
        <f t="shared" si="19"/>
        <v>43708</v>
      </c>
      <c r="C397" s="1">
        <v>33</v>
      </c>
      <c r="D397" s="1" t="s">
        <v>25</v>
      </c>
      <c r="E397" s="2">
        <v>7.06</v>
      </c>
      <c r="F397" s="1" t="s">
        <v>20</v>
      </c>
      <c r="H397" s="21" t="str">
        <f t="shared" si="20"/>
        <v/>
      </c>
      <c r="I397" s="21"/>
      <c r="J397" s="3">
        <v>7.06</v>
      </c>
      <c r="K397" s="1">
        <v>265.58</v>
      </c>
      <c r="L397" s="4">
        <f t="shared" si="18"/>
        <v>1874.9947999999997</v>
      </c>
    </row>
    <row r="398" spans="1:12" x14ac:dyDescent="0.3">
      <c r="A398" s="1">
        <v>2019</v>
      </c>
      <c r="B398" s="20">
        <f t="shared" si="19"/>
        <v>43708</v>
      </c>
      <c r="C398" s="1">
        <v>45</v>
      </c>
      <c r="D398" s="1" t="s">
        <v>25</v>
      </c>
      <c r="E398" s="2">
        <v>10.69</v>
      </c>
      <c r="F398" s="1" t="s">
        <v>31</v>
      </c>
      <c r="H398" s="21" t="str">
        <f t="shared" si="20"/>
        <v/>
      </c>
      <c r="I398" s="21"/>
      <c r="J398" s="3">
        <v>10.69</v>
      </c>
      <c r="K398" s="1">
        <v>165.65</v>
      </c>
      <c r="L398" s="4">
        <f t="shared" si="18"/>
        <v>1770.7984999999999</v>
      </c>
    </row>
    <row r="399" spans="1:12" x14ac:dyDescent="0.3">
      <c r="A399" s="1">
        <v>2019</v>
      </c>
      <c r="B399" s="20">
        <f t="shared" si="19"/>
        <v>43708</v>
      </c>
      <c r="C399" s="1">
        <v>46</v>
      </c>
      <c r="D399" s="1" t="s">
        <v>25</v>
      </c>
      <c r="E399" s="2">
        <v>5.86</v>
      </c>
      <c r="F399" s="1" t="s">
        <v>31</v>
      </c>
      <c r="H399" s="21" t="str">
        <f t="shared" si="20"/>
        <v/>
      </c>
      <c r="I399" s="21"/>
      <c r="J399" s="3">
        <v>5.86</v>
      </c>
      <c r="K399" s="1">
        <v>180.15</v>
      </c>
      <c r="L399" s="4">
        <f t="shared" si="18"/>
        <v>1055.6790000000001</v>
      </c>
    </row>
    <row r="400" spans="1:12" x14ac:dyDescent="0.3">
      <c r="A400" s="1">
        <v>2019</v>
      </c>
      <c r="B400" s="20">
        <f t="shared" si="19"/>
        <v>43708</v>
      </c>
      <c r="C400" s="1">
        <v>47</v>
      </c>
      <c r="D400" s="1" t="s">
        <v>2</v>
      </c>
      <c r="E400" s="2">
        <v>7.69</v>
      </c>
      <c r="F400" s="1" t="s">
        <v>33</v>
      </c>
      <c r="H400" s="21" t="str">
        <f t="shared" si="20"/>
        <v/>
      </c>
      <c r="I400" s="21"/>
      <c r="J400" s="3">
        <v>7.69</v>
      </c>
      <c r="K400" s="1">
        <v>71.87</v>
      </c>
      <c r="L400" s="4">
        <f t="shared" si="18"/>
        <v>552.6803000000001</v>
      </c>
    </row>
    <row r="401" spans="1:12" x14ac:dyDescent="0.3">
      <c r="A401" s="1">
        <v>2019</v>
      </c>
      <c r="B401" s="20">
        <f t="shared" si="19"/>
        <v>43708</v>
      </c>
      <c r="C401" s="1">
        <v>48</v>
      </c>
      <c r="D401" s="1" t="s">
        <v>2</v>
      </c>
      <c r="E401" s="2">
        <v>4.1900000000000004</v>
      </c>
      <c r="F401" s="1" t="s">
        <v>33</v>
      </c>
      <c r="H401" s="21" t="str">
        <f t="shared" si="20"/>
        <v/>
      </c>
      <c r="I401" s="21"/>
      <c r="J401" s="3">
        <v>4.1900000000000004</v>
      </c>
      <c r="K401" s="1">
        <v>65.95</v>
      </c>
      <c r="L401" s="4">
        <f t="shared" si="18"/>
        <v>276.33050000000003</v>
      </c>
    </row>
    <row r="402" spans="1:12" x14ac:dyDescent="0.3">
      <c r="A402" s="1">
        <v>2019</v>
      </c>
      <c r="B402" s="20">
        <f t="shared" si="19"/>
        <v>43708</v>
      </c>
      <c r="C402" s="1">
        <v>52</v>
      </c>
      <c r="D402" s="1" t="s">
        <v>26</v>
      </c>
      <c r="E402" s="2">
        <v>8.07</v>
      </c>
      <c r="F402" s="1" t="s">
        <v>34</v>
      </c>
      <c r="H402" s="21" t="str">
        <f t="shared" si="20"/>
        <v/>
      </c>
      <c r="I402" s="21"/>
      <c r="J402" s="3">
        <v>8.07</v>
      </c>
      <c r="K402" s="1">
        <v>57.07</v>
      </c>
      <c r="L402" s="4">
        <f t="shared" si="18"/>
        <v>460.55490000000003</v>
      </c>
    </row>
    <row r="403" spans="1:12" x14ac:dyDescent="0.3">
      <c r="A403" s="1">
        <v>2019</v>
      </c>
      <c r="B403" s="20">
        <f t="shared" si="19"/>
        <v>43708</v>
      </c>
      <c r="C403" s="1">
        <v>53</v>
      </c>
      <c r="D403" s="1" t="s">
        <v>2</v>
      </c>
      <c r="E403" s="2">
        <v>13.43</v>
      </c>
      <c r="F403" s="1" t="s">
        <v>34</v>
      </c>
      <c r="H403" s="21" t="str">
        <f t="shared" si="20"/>
        <v/>
      </c>
      <c r="I403" s="21"/>
      <c r="J403" s="3">
        <v>13.43</v>
      </c>
      <c r="K403" s="1">
        <v>54.88</v>
      </c>
      <c r="L403" s="4">
        <f t="shared" si="18"/>
        <v>737.03840000000002</v>
      </c>
    </row>
    <row r="404" spans="1:12" x14ac:dyDescent="0.3">
      <c r="A404" s="1">
        <v>2019</v>
      </c>
      <c r="B404" s="20">
        <f t="shared" si="19"/>
        <v>43708</v>
      </c>
      <c r="C404" s="1">
        <v>54</v>
      </c>
      <c r="D404" s="1" t="s">
        <v>26</v>
      </c>
      <c r="E404" s="2">
        <v>10.199999999999999</v>
      </c>
      <c r="F404" s="1" t="s">
        <v>34</v>
      </c>
      <c r="H404" s="21" t="str">
        <f t="shared" si="20"/>
        <v/>
      </c>
      <c r="I404" s="21"/>
      <c r="J404" s="3">
        <v>10.199999999999999</v>
      </c>
      <c r="K404" s="1">
        <v>37.979999999999997</v>
      </c>
      <c r="L404" s="4">
        <f t="shared" si="18"/>
        <v>387.39599999999996</v>
      </c>
    </row>
    <row r="405" spans="1:12" x14ac:dyDescent="0.3">
      <c r="A405" s="1">
        <v>2019</v>
      </c>
      <c r="B405" s="20">
        <f t="shared" si="19"/>
        <v>43708</v>
      </c>
      <c r="C405" s="1">
        <v>55</v>
      </c>
      <c r="D405" s="1" t="s">
        <v>26</v>
      </c>
      <c r="E405" s="2">
        <v>4.22</v>
      </c>
      <c r="F405" s="1" t="s">
        <v>34</v>
      </c>
      <c r="H405" s="21" t="str">
        <f t="shared" si="20"/>
        <v/>
      </c>
      <c r="I405" s="21"/>
      <c r="J405" s="3">
        <v>4.22</v>
      </c>
      <c r="K405" s="1">
        <v>45.9</v>
      </c>
      <c r="L405" s="4">
        <f t="shared" si="18"/>
        <v>193.69799999999998</v>
      </c>
    </row>
    <row r="406" spans="1:12" x14ac:dyDescent="0.3">
      <c r="A406" s="1">
        <v>2019</v>
      </c>
      <c r="B406" s="20">
        <f t="shared" si="19"/>
        <v>43708</v>
      </c>
      <c r="C406" s="1">
        <v>56</v>
      </c>
      <c r="D406" s="1" t="s">
        <v>26</v>
      </c>
      <c r="E406" s="2">
        <v>10.37</v>
      </c>
      <c r="F406" s="1" t="s">
        <v>34</v>
      </c>
      <c r="H406" s="21" t="str">
        <f t="shared" si="20"/>
        <v/>
      </c>
      <c r="I406" s="21"/>
      <c r="J406" s="3">
        <v>10.37</v>
      </c>
      <c r="K406" s="1">
        <v>31.13</v>
      </c>
      <c r="L406" s="4">
        <f t="shared" si="18"/>
        <v>322.81809999999996</v>
      </c>
    </row>
    <row r="407" spans="1:12" x14ac:dyDescent="0.3">
      <c r="A407" s="1">
        <v>2019</v>
      </c>
      <c r="B407" s="20">
        <f t="shared" si="19"/>
        <v>43708</v>
      </c>
      <c r="C407" s="1">
        <v>57</v>
      </c>
      <c r="D407" s="1" t="s">
        <v>26</v>
      </c>
      <c r="E407" s="2">
        <v>11.04</v>
      </c>
      <c r="F407" s="1" t="s">
        <v>34</v>
      </c>
      <c r="H407" s="21" t="str">
        <f t="shared" si="20"/>
        <v/>
      </c>
      <c r="I407" s="21"/>
      <c r="J407" s="3">
        <v>11.04</v>
      </c>
      <c r="K407" s="1">
        <v>29.25</v>
      </c>
      <c r="L407" s="4">
        <f t="shared" si="18"/>
        <v>322.91999999999996</v>
      </c>
    </row>
    <row r="408" spans="1:12" x14ac:dyDescent="0.3">
      <c r="A408" s="1">
        <v>2019</v>
      </c>
      <c r="B408" s="20">
        <f t="shared" si="19"/>
        <v>43708</v>
      </c>
      <c r="C408" s="1">
        <v>58</v>
      </c>
      <c r="D408" s="1" t="s">
        <v>25</v>
      </c>
      <c r="E408" s="2">
        <v>48.97</v>
      </c>
      <c r="F408" s="1" t="s">
        <v>28</v>
      </c>
      <c r="H408" s="21" t="str">
        <f t="shared" si="20"/>
        <v/>
      </c>
      <c r="I408" s="21"/>
      <c r="J408" s="3">
        <v>48.97</v>
      </c>
      <c r="K408" s="1">
        <v>136.5</v>
      </c>
      <c r="L408" s="4">
        <f t="shared" si="18"/>
        <v>6684.4049999999997</v>
      </c>
    </row>
    <row r="409" spans="1:12" x14ac:dyDescent="0.3">
      <c r="A409" s="1">
        <v>2019</v>
      </c>
      <c r="B409" s="20">
        <f t="shared" si="19"/>
        <v>43708</v>
      </c>
      <c r="C409" s="1">
        <v>59</v>
      </c>
      <c r="D409" s="1" t="s">
        <v>26</v>
      </c>
      <c r="E409" s="2">
        <v>6.59</v>
      </c>
      <c r="F409" s="1" t="s">
        <v>34</v>
      </c>
      <c r="H409" s="21" t="str">
        <f t="shared" si="20"/>
        <v/>
      </c>
      <c r="I409" s="21"/>
      <c r="J409" s="3">
        <v>6.59</v>
      </c>
      <c r="K409" s="1">
        <v>83.87</v>
      </c>
      <c r="L409" s="4">
        <f t="shared" si="18"/>
        <v>552.70330000000001</v>
      </c>
    </row>
    <row r="410" spans="1:12" x14ac:dyDescent="0.3">
      <c r="A410" s="1">
        <v>2019</v>
      </c>
      <c r="B410" s="20">
        <f t="shared" si="19"/>
        <v>43708</v>
      </c>
      <c r="C410" s="1">
        <v>60</v>
      </c>
      <c r="D410" s="1" t="s">
        <v>26</v>
      </c>
      <c r="E410" s="2">
        <v>6.79</v>
      </c>
      <c r="F410" s="1" t="s">
        <v>34</v>
      </c>
      <c r="H410" s="21" t="str">
        <f t="shared" si="20"/>
        <v/>
      </c>
      <c r="I410" s="21"/>
      <c r="J410" s="3">
        <v>6.79</v>
      </c>
      <c r="K410" s="1">
        <v>81.400000000000006</v>
      </c>
      <c r="L410" s="4">
        <f t="shared" si="18"/>
        <v>552.70600000000002</v>
      </c>
    </row>
    <row r="411" spans="1:12" x14ac:dyDescent="0.3">
      <c r="A411" s="1">
        <v>2019</v>
      </c>
      <c r="B411" s="20">
        <f t="shared" si="19"/>
        <v>43708</v>
      </c>
      <c r="C411" s="1">
        <v>61</v>
      </c>
      <c r="D411" s="1" t="s">
        <v>2</v>
      </c>
      <c r="E411" s="2">
        <v>0.9</v>
      </c>
      <c r="F411" s="1" t="s">
        <v>34</v>
      </c>
      <c r="H411" s="21" t="str">
        <f t="shared" si="20"/>
        <v/>
      </c>
      <c r="I411" s="21"/>
      <c r="J411" s="3">
        <v>0.9</v>
      </c>
      <c r="K411" s="1">
        <v>71.2</v>
      </c>
      <c r="L411" s="4">
        <f t="shared" si="18"/>
        <v>64.08</v>
      </c>
    </row>
    <row r="412" spans="1:12" x14ac:dyDescent="0.3">
      <c r="A412" s="1">
        <v>2019</v>
      </c>
      <c r="B412" s="20">
        <f t="shared" si="19"/>
        <v>43708</v>
      </c>
      <c r="C412" s="1">
        <v>62</v>
      </c>
      <c r="D412" s="1" t="s">
        <v>2</v>
      </c>
      <c r="E412" s="2">
        <v>9.1300000000000008</v>
      </c>
      <c r="F412" s="1" t="s">
        <v>34</v>
      </c>
      <c r="H412" s="21" t="str">
        <f t="shared" si="20"/>
        <v/>
      </c>
      <c r="I412" s="21"/>
      <c r="J412" s="3">
        <v>9.1300000000000008</v>
      </c>
      <c r="K412" s="1">
        <v>45.87</v>
      </c>
      <c r="L412" s="4">
        <f t="shared" si="18"/>
        <v>418.79310000000004</v>
      </c>
    </row>
    <row r="413" spans="1:12" x14ac:dyDescent="0.3">
      <c r="A413" s="1">
        <v>2019</v>
      </c>
      <c r="B413" s="20">
        <f t="shared" si="19"/>
        <v>43708</v>
      </c>
      <c r="C413" s="1">
        <v>63</v>
      </c>
      <c r="D413" s="1" t="s">
        <v>2</v>
      </c>
      <c r="E413" s="2">
        <v>7.8</v>
      </c>
      <c r="F413" s="1" t="s">
        <v>35</v>
      </c>
      <c r="H413" s="21" t="str">
        <f t="shared" si="20"/>
        <v/>
      </c>
      <c r="I413" s="21"/>
      <c r="J413" s="3">
        <v>7.8</v>
      </c>
      <c r="K413" s="1">
        <v>55.71</v>
      </c>
      <c r="L413" s="4">
        <f t="shared" si="18"/>
        <v>434.53800000000001</v>
      </c>
    </row>
    <row r="414" spans="1:12" x14ac:dyDescent="0.3">
      <c r="A414" s="1">
        <v>2019</v>
      </c>
      <c r="B414" s="20">
        <f t="shared" si="19"/>
        <v>43708</v>
      </c>
      <c r="C414" s="1">
        <v>64</v>
      </c>
      <c r="D414" s="1" t="s">
        <v>2</v>
      </c>
      <c r="E414" s="2">
        <v>12.95</v>
      </c>
      <c r="F414" s="1" t="s">
        <v>35</v>
      </c>
      <c r="H414" s="21" t="str">
        <f t="shared" si="20"/>
        <v/>
      </c>
      <c r="I414" s="21"/>
      <c r="J414" s="3">
        <v>12.95</v>
      </c>
      <c r="K414" s="1">
        <v>67.45</v>
      </c>
      <c r="L414" s="4">
        <f t="shared" si="18"/>
        <v>873.47749999999996</v>
      </c>
    </row>
    <row r="415" spans="1:12" x14ac:dyDescent="0.3">
      <c r="A415" s="1">
        <v>2019</v>
      </c>
      <c r="B415" s="20">
        <f t="shared" si="19"/>
        <v>43708</v>
      </c>
      <c r="C415" s="1">
        <v>65</v>
      </c>
      <c r="D415" s="1" t="s">
        <v>2</v>
      </c>
      <c r="E415" s="2">
        <v>8.66</v>
      </c>
      <c r="F415" s="1" t="s">
        <v>35</v>
      </c>
      <c r="H415" s="21" t="str">
        <f t="shared" si="20"/>
        <v/>
      </c>
      <c r="I415" s="21"/>
      <c r="J415" s="3">
        <v>8.66</v>
      </c>
      <c r="K415" s="1">
        <v>70.599999999999994</v>
      </c>
      <c r="L415" s="4">
        <f t="shared" si="18"/>
        <v>611.39599999999996</v>
      </c>
    </row>
    <row r="416" spans="1:12" x14ac:dyDescent="0.3">
      <c r="A416" s="1">
        <v>2019</v>
      </c>
      <c r="B416" s="20">
        <f t="shared" si="19"/>
        <v>43708</v>
      </c>
      <c r="C416" s="1">
        <v>66</v>
      </c>
      <c r="D416" s="1" t="s">
        <v>2</v>
      </c>
      <c r="E416" s="2">
        <v>9.23</v>
      </c>
      <c r="F416" s="1" t="s">
        <v>30</v>
      </c>
      <c r="H416" s="21" t="str">
        <f t="shared" si="20"/>
        <v/>
      </c>
      <c r="I416" s="21"/>
      <c r="J416" s="3">
        <v>9.23</v>
      </c>
      <c r="K416" s="1">
        <v>66.239999999999995</v>
      </c>
      <c r="L416" s="4">
        <f t="shared" si="18"/>
        <v>611.39519999999993</v>
      </c>
    </row>
    <row r="417" spans="1:12" x14ac:dyDescent="0.3">
      <c r="A417" s="1">
        <v>2019</v>
      </c>
      <c r="B417" s="20">
        <f t="shared" si="19"/>
        <v>43708</v>
      </c>
      <c r="C417" s="1">
        <v>67</v>
      </c>
      <c r="D417" s="1" t="s">
        <v>2</v>
      </c>
      <c r="E417" s="2">
        <v>13.83</v>
      </c>
      <c r="F417" s="1" t="s">
        <v>30</v>
      </c>
      <c r="H417" s="21" t="str">
        <f t="shared" si="20"/>
        <v/>
      </c>
      <c r="I417" s="21"/>
      <c r="J417" s="3">
        <v>13.83</v>
      </c>
      <c r="K417" s="1">
        <v>69.47</v>
      </c>
      <c r="L417" s="4">
        <f t="shared" si="18"/>
        <v>960.77009999999996</v>
      </c>
    </row>
    <row r="418" spans="1:12" x14ac:dyDescent="0.3">
      <c r="A418" s="1">
        <v>2019</v>
      </c>
      <c r="B418" s="20">
        <f t="shared" si="19"/>
        <v>43708</v>
      </c>
      <c r="C418" s="1">
        <v>69</v>
      </c>
      <c r="D418" s="1" t="s">
        <v>2</v>
      </c>
      <c r="E418" s="2">
        <v>7.18</v>
      </c>
      <c r="F418" s="1" t="s">
        <v>30</v>
      </c>
      <c r="H418" s="21" t="str">
        <f t="shared" si="20"/>
        <v/>
      </c>
      <c r="I418" s="21"/>
      <c r="J418" s="3">
        <v>7.18</v>
      </c>
      <c r="K418" s="1">
        <v>72.98</v>
      </c>
      <c r="L418" s="4">
        <f t="shared" si="18"/>
        <v>523.99639999999999</v>
      </c>
    </row>
    <row r="419" spans="1:12" x14ac:dyDescent="0.3">
      <c r="A419" s="1">
        <v>2019</v>
      </c>
      <c r="B419" s="20">
        <f t="shared" si="19"/>
        <v>43708</v>
      </c>
      <c r="C419" s="1">
        <v>73</v>
      </c>
      <c r="D419" s="1" t="s">
        <v>2</v>
      </c>
      <c r="E419" s="2">
        <v>5.8</v>
      </c>
      <c r="F419" s="1" t="s">
        <v>34</v>
      </c>
      <c r="H419" s="21" t="str">
        <f t="shared" si="20"/>
        <v/>
      </c>
      <c r="I419" s="21"/>
      <c r="J419" s="3">
        <v>5.8</v>
      </c>
      <c r="K419" s="1">
        <v>75.36</v>
      </c>
      <c r="L419" s="4">
        <f t="shared" si="18"/>
        <v>437.08799999999997</v>
      </c>
    </row>
    <row r="420" spans="1:12" x14ac:dyDescent="0.3">
      <c r="A420" s="1">
        <v>2019</v>
      </c>
      <c r="B420" s="20">
        <f t="shared" si="19"/>
        <v>43708</v>
      </c>
      <c r="C420" s="1">
        <v>74</v>
      </c>
      <c r="D420" s="1" t="s">
        <v>2</v>
      </c>
      <c r="E420" s="2">
        <v>8.66</v>
      </c>
      <c r="F420" s="1" t="s">
        <v>34</v>
      </c>
      <c r="H420" s="21" t="str">
        <f t="shared" si="20"/>
        <v/>
      </c>
      <c r="I420" s="21"/>
      <c r="J420" s="3">
        <v>8.66</v>
      </c>
      <c r="K420" s="1">
        <v>56.25</v>
      </c>
      <c r="L420" s="4">
        <f t="shared" si="18"/>
        <v>487.125</v>
      </c>
    </row>
    <row r="421" spans="1:12" x14ac:dyDescent="0.3">
      <c r="A421" s="1">
        <v>2019</v>
      </c>
      <c r="B421" s="20">
        <f t="shared" si="19"/>
        <v>43708</v>
      </c>
      <c r="C421" s="1">
        <v>75</v>
      </c>
      <c r="D421" s="1" t="s">
        <v>2</v>
      </c>
      <c r="E421" s="2">
        <v>5.63</v>
      </c>
      <c r="F421" s="1" t="s">
        <v>34</v>
      </c>
      <c r="H421" s="21" t="str">
        <f t="shared" si="20"/>
        <v/>
      </c>
      <c r="I421" s="21"/>
      <c r="J421" s="3">
        <v>5.63</v>
      </c>
      <c r="K421" s="1">
        <v>69.900000000000006</v>
      </c>
      <c r="L421" s="4">
        <f t="shared" si="18"/>
        <v>393.53700000000003</v>
      </c>
    </row>
    <row r="422" spans="1:12" x14ac:dyDescent="0.3">
      <c r="A422" s="1">
        <v>2019</v>
      </c>
      <c r="B422" s="20">
        <f t="shared" si="19"/>
        <v>43708</v>
      </c>
      <c r="C422" s="1">
        <v>76</v>
      </c>
      <c r="D422" s="1" t="s">
        <v>2</v>
      </c>
      <c r="E422" s="2">
        <v>3.21</v>
      </c>
      <c r="F422" s="1" t="s">
        <v>34</v>
      </c>
      <c r="H422" s="21" t="str">
        <f t="shared" si="20"/>
        <v/>
      </c>
      <c r="I422" s="21"/>
      <c r="J422" s="3">
        <v>3.21</v>
      </c>
      <c r="K422" s="1">
        <v>99.64</v>
      </c>
      <c r="L422" s="4">
        <f t="shared" si="18"/>
        <v>319.84440000000001</v>
      </c>
    </row>
    <row r="423" spans="1:12" x14ac:dyDescent="0.3">
      <c r="A423" s="1">
        <v>2019</v>
      </c>
      <c r="B423" s="20">
        <f t="shared" si="19"/>
        <v>43708</v>
      </c>
      <c r="C423" s="1">
        <v>77</v>
      </c>
      <c r="D423" s="1" t="s">
        <v>2</v>
      </c>
      <c r="E423" s="2">
        <v>9.0299999999999994</v>
      </c>
      <c r="F423" s="1" t="s">
        <v>34</v>
      </c>
      <c r="H423" s="21" t="str">
        <f t="shared" si="20"/>
        <v/>
      </c>
      <c r="I423" s="21"/>
      <c r="J423" s="3">
        <v>9.0299999999999994</v>
      </c>
      <c r="K423" s="1">
        <v>93.5</v>
      </c>
      <c r="L423" s="4">
        <f t="shared" si="18"/>
        <v>844.30499999999995</v>
      </c>
    </row>
    <row r="424" spans="1:12" x14ac:dyDescent="0.3">
      <c r="A424" s="1">
        <v>2019</v>
      </c>
      <c r="B424" s="20">
        <f t="shared" si="19"/>
        <v>43708</v>
      </c>
      <c r="C424" s="1">
        <v>78</v>
      </c>
      <c r="D424" s="1" t="s">
        <v>2</v>
      </c>
      <c r="E424" s="2">
        <v>3.88</v>
      </c>
      <c r="F424" s="1" t="s">
        <v>34</v>
      </c>
      <c r="H424" s="21" t="str">
        <f t="shared" si="20"/>
        <v/>
      </c>
      <c r="I424" s="21"/>
      <c r="J424" s="3">
        <v>3.88</v>
      </c>
      <c r="K424" s="1">
        <v>59.7</v>
      </c>
      <c r="L424" s="4">
        <f t="shared" si="18"/>
        <v>231.636</v>
      </c>
    </row>
    <row r="425" spans="1:12" x14ac:dyDescent="0.3">
      <c r="A425" s="1">
        <v>2019</v>
      </c>
      <c r="B425" s="20">
        <f t="shared" si="19"/>
        <v>43708</v>
      </c>
      <c r="C425" s="1">
        <v>79</v>
      </c>
      <c r="D425" s="1" t="s">
        <v>2</v>
      </c>
      <c r="E425" s="2">
        <v>5.55</v>
      </c>
      <c r="F425" s="1" t="s">
        <v>35</v>
      </c>
      <c r="H425" s="21" t="str">
        <f t="shared" si="20"/>
        <v/>
      </c>
      <c r="I425" s="21"/>
      <c r="J425" s="3">
        <v>5.55</v>
      </c>
      <c r="K425" s="1">
        <v>52.05</v>
      </c>
      <c r="L425" s="4">
        <f t="shared" si="18"/>
        <v>288.8775</v>
      </c>
    </row>
    <row r="426" spans="1:12" x14ac:dyDescent="0.3">
      <c r="A426" s="1">
        <v>2019</v>
      </c>
      <c r="B426" s="20">
        <f t="shared" si="19"/>
        <v>43708</v>
      </c>
      <c r="C426" s="1">
        <v>80</v>
      </c>
      <c r="D426" s="1" t="s">
        <v>2</v>
      </c>
      <c r="E426" s="2">
        <v>7.3</v>
      </c>
      <c r="F426" s="1" t="s">
        <v>34</v>
      </c>
      <c r="H426" s="21" t="str">
        <f t="shared" si="20"/>
        <v/>
      </c>
      <c r="I426" s="21"/>
      <c r="J426" s="3">
        <v>7.3</v>
      </c>
      <c r="K426" s="1">
        <v>47.49</v>
      </c>
      <c r="L426" s="4">
        <f t="shared" si="18"/>
        <v>346.67700000000002</v>
      </c>
    </row>
    <row r="427" spans="1:12" x14ac:dyDescent="0.3">
      <c r="A427" s="1">
        <v>2019</v>
      </c>
      <c r="B427" s="20">
        <f t="shared" si="19"/>
        <v>43708</v>
      </c>
      <c r="C427" s="1">
        <v>81</v>
      </c>
      <c r="D427" s="1" t="s">
        <v>2</v>
      </c>
      <c r="E427" s="2">
        <v>5.89</v>
      </c>
      <c r="F427" s="1" t="s">
        <v>34</v>
      </c>
      <c r="H427" s="21" t="str">
        <f t="shared" si="20"/>
        <v/>
      </c>
      <c r="I427" s="21"/>
      <c r="J427" s="3">
        <v>5.89</v>
      </c>
      <c r="K427" s="1">
        <v>49.04</v>
      </c>
      <c r="L427" s="4">
        <f t="shared" si="18"/>
        <v>288.84559999999999</v>
      </c>
    </row>
    <row r="428" spans="1:12" x14ac:dyDescent="0.3">
      <c r="A428" s="1">
        <v>2019</v>
      </c>
      <c r="B428" s="20">
        <f t="shared" si="19"/>
        <v>43708</v>
      </c>
      <c r="C428" s="1">
        <v>82</v>
      </c>
      <c r="D428" s="1" t="s">
        <v>2</v>
      </c>
      <c r="E428" s="2">
        <v>5.46</v>
      </c>
      <c r="F428" s="1" t="s">
        <v>34</v>
      </c>
      <c r="H428" s="21" t="str">
        <f t="shared" si="20"/>
        <v/>
      </c>
      <c r="I428" s="21"/>
      <c r="J428" s="3">
        <v>5.46</v>
      </c>
      <c r="K428" s="1">
        <v>52.94</v>
      </c>
      <c r="L428" s="4">
        <f t="shared" si="18"/>
        <v>289.05239999999998</v>
      </c>
    </row>
    <row r="429" spans="1:12" x14ac:dyDescent="0.3">
      <c r="A429" s="1">
        <v>2019</v>
      </c>
      <c r="B429" s="20">
        <f t="shared" si="19"/>
        <v>43708</v>
      </c>
      <c r="C429" s="1">
        <v>84</v>
      </c>
      <c r="D429" s="1" t="s">
        <v>2</v>
      </c>
      <c r="E429" s="2">
        <v>4.46</v>
      </c>
      <c r="F429" s="1" t="s">
        <v>33</v>
      </c>
      <c r="H429" s="21" t="str">
        <f t="shared" si="20"/>
        <v/>
      </c>
      <c r="I429" s="21"/>
      <c r="J429" s="3">
        <v>4.46</v>
      </c>
      <c r="K429" s="1">
        <v>62.05</v>
      </c>
      <c r="L429" s="4">
        <f t="shared" si="18"/>
        <v>276.74299999999999</v>
      </c>
    </row>
    <row r="430" spans="1:12" x14ac:dyDescent="0.3">
      <c r="A430" s="1">
        <v>2019</v>
      </c>
      <c r="B430" s="20">
        <f t="shared" si="19"/>
        <v>43708</v>
      </c>
      <c r="C430" s="1">
        <v>87</v>
      </c>
      <c r="D430" s="1" t="s">
        <v>2</v>
      </c>
      <c r="E430" s="2">
        <v>20.41</v>
      </c>
      <c r="F430" s="1" t="s">
        <v>33</v>
      </c>
      <c r="H430" s="21" t="str">
        <f t="shared" si="20"/>
        <v/>
      </c>
      <c r="I430" s="21"/>
      <c r="J430" s="3">
        <v>20.41</v>
      </c>
      <c r="K430" s="1">
        <v>114.78</v>
      </c>
      <c r="L430" s="4">
        <f t="shared" si="18"/>
        <v>2342.6597999999999</v>
      </c>
    </row>
    <row r="431" spans="1:12" x14ac:dyDescent="0.3">
      <c r="A431" s="1">
        <v>2019</v>
      </c>
      <c r="B431" s="20">
        <f t="shared" si="19"/>
        <v>43708</v>
      </c>
      <c r="C431" s="1">
        <v>91</v>
      </c>
      <c r="D431" s="1" t="s">
        <v>25</v>
      </c>
      <c r="E431" s="2">
        <v>48.55</v>
      </c>
      <c r="F431" s="1" t="s">
        <v>31</v>
      </c>
      <c r="H431" s="21" t="str">
        <f t="shared" si="20"/>
        <v/>
      </c>
      <c r="I431" s="21"/>
      <c r="J431" s="3">
        <v>48.55</v>
      </c>
      <c r="K431" s="1">
        <v>72.680000000000007</v>
      </c>
      <c r="L431" s="4">
        <f t="shared" si="18"/>
        <v>3528.614</v>
      </c>
    </row>
    <row r="432" spans="1:12" x14ac:dyDescent="0.3">
      <c r="A432" s="1">
        <v>2019</v>
      </c>
      <c r="B432" s="20">
        <f t="shared" si="19"/>
        <v>43708</v>
      </c>
      <c r="C432" s="1">
        <v>92</v>
      </c>
      <c r="D432" s="1" t="s">
        <v>25</v>
      </c>
      <c r="E432" s="2">
        <v>96.93</v>
      </c>
      <c r="F432" s="1" t="s">
        <v>20</v>
      </c>
      <c r="H432" s="21" t="str">
        <f t="shared" si="20"/>
        <v/>
      </c>
      <c r="I432" s="21"/>
      <c r="J432" s="3">
        <v>96.93</v>
      </c>
      <c r="K432" s="1">
        <v>82.71</v>
      </c>
      <c r="L432" s="4">
        <f t="shared" si="18"/>
        <v>8017.0802999999996</v>
      </c>
    </row>
    <row r="433" spans="1:12" x14ac:dyDescent="0.3">
      <c r="A433" s="1">
        <v>2020</v>
      </c>
      <c r="B433" s="20">
        <f t="shared" si="19"/>
        <v>44074</v>
      </c>
      <c r="C433" s="1">
        <v>1</v>
      </c>
      <c r="D433" s="1" t="s">
        <v>25</v>
      </c>
      <c r="E433" s="2">
        <v>16.64</v>
      </c>
      <c r="F433" s="1" t="s">
        <v>31</v>
      </c>
      <c r="H433" s="21" t="str">
        <f t="shared" si="20"/>
        <v/>
      </c>
      <c r="I433" s="21"/>
      <c r="J433" s="3">
        <v>16.64</v>
      </c>
      <c r="K433" s="1">
        <v>89.43</v>
      </c>
      <c r="L433" s="4">
        <f t="shared" si="18"/>
        <v>1488.1152000000002</v>
      </c>
    </row>
    <row r="434" spans="1:12" x14ac:dyDescent="0.3">
      <c r="A434" s="1">
        <v>2020</v>
      </c>
      <c r="B434" s="20">
        <f t="shared" si="19"/>
        <v>44074</v>
      </c>
      <c r="C434" s="1">
        <v>2</v>
      </c>
      <c r="D434" s="1" t="s">
        <v>25</v>
      </c>
      <c r="E434" s="2">
        <v>24.52</v>
      </c>
      <c r="F434" s="1" t="s">
        <v>31</v>
      </c>
      <c r="H434" s="21" t="str">
        <f t="shared" si="20"/>
        <v/>
      </c>
      <c r="I434" s="21"/>
      <c r="J434" s="3">
        <v>24.52</v>
      </c>
      <c r="K434" s="1">
        <v>89.47</v>
      </c>
      <c r="L434" s="4">
        <f t="shared" si="18"/>
        <v>2193.8044</v>
      </c>
    </row>
    <row r="435" spans="1:12" x14ac:dyDescent="0.3">
      <c r="A435" s="1">
        <v>2020</v>
      </c>
      <c r="B435" s="20">
        <f t="shared" si="19"/>
        <v>44074</v>
      </c>
      <c r="C435" s="1">
        <v>5</v>
      </c>
      <c r="D435" s="1" t="s">
        <v>2</v>
      </c>
      <c r="E435" s="2">
        <v>12.65</v>
      </c>
      <c r="F435" s="1" t="s">
        <v>30</v>
      </c>
      <c r="H435" s="21" t="str">
        <f t="shared" si="20"/>
        <v/>
      </c>
      <c r="I435" s="21"/>
      <c r="J435" s="3">
        <v>12.65</v>
      </c>
      <c r="K435" s="1">
        <v>6.97</v>
      </c>
      <c r="L435" s="4">
        <f t="shared" si="18"/>
        <v>88.170500000000004</v>
      </c>
    </row>
    <row r="436" spans="1:12" x14ac:dyDescent="0.3">
      <c r="A436" s="1">
        <v>2020</v>
      </c>
      <c r="B436" s="20">
        <f t="shared" si="19"/>
        <v>44074</v>
      </c>
      <c r="C436" s="1">
        <v>6</v>
      </c>
      <c r="D436" s="1" t="s">
        <v>2</v>
      </c>
      <c r="E436" s="2">
        <v>18.3</v>
      </c>
      <c r="F436" s="1" t="s">
        <v>30</v>
      </c>
      <c r="H436" s="21" t="str">
        <f t="shared" si="20"/>
        <v/>
      </c>
      <c r="I436" s="21"/>
      <c r="J436" s="3">
        <v>18.3</v>
      </c>
      <c r="K436" s="1">
        <v>69.98</v>
      </c>
      <c r="L436" s="4">
        <f t="shared" si="18"/>
        <v>1280.634</v>
      </c>
    </row>
    <row r="437" spans="1:12" x14ac:dyDescent="0.3">
      <c r="A437" s="1">
        <v>2020</v>
      </c>
      <c r="B437" s="20">
        <f t="shared" si="19"/>
        <v>44074</v>
      </c>
      <c r="C437" s="1">
        <v>7</v>
      </c>
      <c r="D437" s="1" t="s">
        <v>2</v>
      </c>
      <c r="E437" s="2">
        <v>9.98</v>
      </c>
      <c r="F437" s="1" t="s">
        <v>30</v>
      </c>
      <c r="H437" s="21" t="str">
        <f t="shared" si="20"/>
        <v/>
      </c>
      <c r="I437" s="21"/>
      <c r="J437" s="3">
        <v>9.98</v>
      </c>
      <c r="K437" s="1">
        <v>69.95</v>
      </c>
      <c r="L437" s="4">
        <f t="shared" si="18"/>
        <v>698.10100000000011</v>
      </c>
    </row>
    <row r="438" spans="1:12" x14ac:dyDescent="0.3">
      <c r="A438" s="1">
        <v>2020</v>
      </c>
      <c r="B438" s="20">
        <f t="shared" si="19"/>
        <v>44074</v>
      </c>
      <c r="C438" s="1">
        <v>10</v>
      </c>
      <c r="D438" s="1" t="s">
        <v>2</v>
      </c>
      <c r="E438" s="2">
        <v>6.43</v>
      </c>
      <c r="F438" s="1" t="s">
        <v>30</v>
      </c>
      <c r="H438" s="21" t="str">
        <f t="shared" si="20"/>
        <v/>
      </c>
      <c r="I438" s="21"/>
      <c r="J438" s="3">
        <v>6.43</v>
      </c>
      <c r="K438" s="1">
        <v>53.3</v>
      </c>
      <c r="L438" s="4">
        <f t="shared" si="18"/>
        <v>342.71899999999999</v>
      </c>
    </row>
    <row r="439" spans="1:12" x14ac:dyDescent="0.3">
      <c r="A439" s="1">
        <v>2020</v>
      </c>
      <c r="B439" s="20">
        <f t="shared" si="19"/>
        <v>44074</v>
      </c>
      <c r="C439" s="1">
        <v>12</v>
      </c>
      <c r="D439" s="1" t="s">
        <v>2</v>
      </c>
      <c r="E439" s="2">
        <v>4.66</v>
      </c>
      <c r="F439" s="1" t="s">
        <v>30</v>
      </c>
      <c r="H439" s="21" t="str">
        <f t="shared" si="20"/>
        <v/>
      </c>
      <c r="I439" s="21"/>
      <c r="J439" s="3">
        <v>4.66</v>
      </c>
      <c r="K439" s="1">
        <v>53.22</v>
      </c>
      <c r="L439" s="4">
        <f t="shared" si="18"/>
        <v>248.0052</v>
      </c>
    </row>
    <row r="440" spans="1:12" x14ac:dyDescent="0.3">
      <c r="A440" s="1">
        <v>2020</v>
      </c>
      <c r="B440" s="20">
        <f t="shared" si="19"/>
        <v>44074</v>
      </c>
      <c r="C440" s="1">
        <v>14</v>
      </c>
      <c r="D440" s="1" t="s">
        <v>2</v>
      </c>
      <c r="E440" s="2">
        <v>7.2</v>
      </c>
      <c r="F440" s="1" t="s">
        <v>30</v>
      </c>
      <c r="H440" s="21" t="str">
        <f t="shared" si="20"/>
        <v/>
      </c>
      <c r="I440" s="21"/>
      <c r="J440" s="3">
        <v>7.2</v>
      </c>
      <c r="K440" s="1">
        <v>57.65</v>
      </c>
      <c r="L440" s="4">
        <f t="shared" si="18"/>
        <v>415.08</v>
      </c>
    </row>
    <row r="441" spans="1:12" x14ac:dyDescent="0.3">
      <c r="A441" s="1">
        <v>2020</v>
      </c>
      <c r="B441" s="20">
        <f t="shared" si="19"/>
        <v>44074</v>
      </c>
      <c r="C441" s="1">
        <v>16</v>
      </c>
      <c r="D441" s="1" t="s">
        <v>3</v>
      </c>
      <c r="E441" s="2">
        <v>10.95</v>
      </c>
      <c r="F441" s="1" t="s">
        <v>30</v>
      </c>
      <c r="H441" s="21" t="str">
        <f t="shared" si="20"/>
        <v/>
      </c>
      <c r="I441" s="21"/>
      <c r="J441" s="3">
        <v>10.95</v>
      </c>
      <c r="K441" s="1">
        <v>57.66</v>
      </c>
      <c r="L441" s="4">
        <f t="shared" si="18"/>
        <v>631.37699999999995</v>
      </c>
    </row>
    <row r="442" spans="1:12" x14ac:dyDescent="0.3">
      <c r="A442" s="1">
        <v>2020</v>
      </c>
      <c r="B442" s="20">
        <f t="shared" si="19"/>
        <v>44074</v>
      </c>
      <c r="C442" s="1">
        <v>17</v>
      </c>
      <c r="D442" s="1" t="s">
        <v>2</v>
      </c>
      <c r="E442" s="2">
        <v>9.4499999999999993</v>
      </c>
      <c r="F442" s="1" t="s">
        <v>30</v>
      </c>
      <c r="H442" s="21" t="str">
        <f t="shared" si="20"/>
        <v/>
      </c>
      <c r="I442" s="21"/>
      <c r="J442" s="3">
        <v>9.4499999999999993</v>
      </c>
      <c r="K442" s="1">
        <v>57.65</v>
      </c>
      <c r="L442" s="4">
        <f t="shared" si="18"/>
        <v>544.7924999999999</v>
      </c>
    </row>
    <row r="443" spans="1:12" x14ac:dyDescent="0.3">
      <c r="A443" s="1">
        <v>2020</v>
      </c>
      <c r="B443" s="20">
        <f t="shared" si="19"/>
        <v>44074</v>
      </c>
      <c r="C443" s="1">
        <v>18</v>
      </c>
      <c r="D443" s="1" t="s">
        <v>25</v>
      </c>
      <c r="E443" s="2">
        <v>4.37</v>
      </c>
      <c r="F443" s="1" t="s">
        <v>31</v>
      </c>
      <c r="H443" s="21" t="str">
        <f t="shared" si="20"/>
        <v/>
      </c>
      <c r="I443" s="21"/>
      <c r="J443" s="3">
        <v>4.37</v>
      </c>
      <c r="K443" s="1">
        <v>89.47</v>
      </c>
      <c r="L443" s="4">
        <f t="shared" si="18"/>
        <v>390.98390000000001</v>
      </c>
    </row>
    <row r="444" spans="1:12" x14ac:dyDescent="0.3">
      <c r="A444" s="1">
        <v>2020</v>
      </c>
      <c r="B444" s="20">
        <f t="shared" si="19"/>
        <v>44074</v>
      </c>
      <c r="C444" s="1">
        <v>19</v>
      </c>
      <c r="D444" s="1" t="s">
        <v>25</v>
      </c>
      <c r="E444" s="2">
        <v>13.15</v>
      </c>
      <c r="F444" s="1" t="s">
        <v>31</v>
      </c>
      <c r="H444" s="21" t="str">
        <f t="shared" si="20"/>
        <v/>
      </c>
      <c r="I444" s="21"/>
      <c r="J444" s="3">
        <v>13.15</v>
      </c>
      <c r="K444" s="1">
        <v>89.43</v>
      </c>
      <c r="L444" s="4">
        <f t="shared" si="18"/>
        <v>1176.0045000000002</v>
      </c>
    </row>
    <row r="445" spans="1:12" x14ac:dyDescent="0.3">
      <c r="A445" s="1">
        <v>2020</v>
      </c>
      <c r="B445" s="20">
        <f t="shared" si="19"/>
        <v>44074</v>
      </c>
      <c r="C445" s="1">
        <v>20</v>
      </c>
      <c r="D445" s="1" t="s">
        <v>2</v>
      </c>
      <c r="E445" s="2">
        <v>4.95</v>
      </c>
      <c r="F445" s="1" t="s">
        <v>30</v>
      </c>
      <c r="G445" s="20">
        <v>41334</v>
      </c>
      <c r="H445" s="21">
        <f t="shared" si="20"/>
        <v>89</v>
      </c>
      <c r="I445" s="24">
        <f>H445/12</f>
        <v>7.416666666666667</v>
      </c>
      <c r="J445" s="3">
        <v>4.95</v>
      </c>
      <c r="K445" s="1">
        <v>57.63</v>
      </c>
      <c r="L445" s="4">
        <f t="shared" si="18"/>
        <v>285.26850000000002</v>
      </c>
    </row>
    <row r="446" spans="1:12" x14ac:dyDescent="0.3">
      <c r="A446" s="1">
        <v>2020</v>
      </c>
      <c r="B446" s="20">
        <f t="shared" si="19"/>
        <v>44074</v>
      </c>
      <c r="C446" s="1">
        <v>21</v>
      </c>
      <c r="D446" s="1" t="s">
        <v>25</v>
      </c>
      <c r="E446" s="2">
        <v>21.59</v>
      </c>
      <c r="F446" s="1" t="s">
        <v>31</v>
      </c>
      <c r="H446" s="21" t="str">
        <f t="shared" si="20"/>
        <v/>
      </c>
      <c r="I446" s="21"/>
      <c r="J446" s="3">
        <v>21.59</v>
      </c>
      <c r="K446" s="1">
        <v>89.44</v>
      </c>
      <c r="L446" s="4">
        <f t="shared" si="18"/>
        <v>1931.0095999999999</v>
      </c>
    </row>
    <row r="447" spans="1:12" x14ac:dyDescent="0.3">
      <c r="A447" s="1">
        <v>2020</v>
      </c>
      <c r="B447" s="20">
        <f t="shared" si="19"/>
        <v>44074</v>
      </c>
      <c r="C447" s="1">
        <v>22</v>
      </c>
      <c r="D447" s="1" t="s">
        <v>25</v>
      </c>
      <c r="E447" s="2">
        <v>19.98</v>
      </c>
      <c r="F447" s="1" t="s">
        <v>31</v>
      </c>
      <c r="H447" s="21" t="str">
        <f t="shared" si="20"/>
        <v/>
      </c>
      <c r="I447" s="21"/>
      <c r="J447" s="3">
        <v>19.98</v>
      </c>
      <c r="K447" s="1">
        <v>89.42</v>
      </c>
      <c r="L447" s="4">
        <f t="shared" si="18"/>
        <v>1786.6116000000002</v>
      </c>
    </row>
    <row r="448" spans="1:12" x14ac:dyDescent="0.3">
      <c r="A448" s="1">
        <v>2020</v>
      </c>
      <c r="B448" s="20">
        <f t="shared" si="19"/>
        <v>44074</v>
      </c>
      <c r="C448" s="1">
        <v>25</v>
      </c>
      <c r="D448" s="1" t="s">
        <v>2</v>
      </c>
      <c r="E448" s="2">
        <v>19.45</v>
      </c>
      <c r="F448" s="1" t="s">
        <v>20</v>
      </c>
      <c r="H448" s="21" t="str">
        <f t="shared" si="20"/>
        <v/>
      </c>
      <c r="I448" s="21"/>
      <c r="J448" s="3">
        <v>19.45</v>
      </c>
      <c r="K448" s="1">
        <v>136.99</v>
      </c>
      <c r="L448" s="4">
        <f t="shared" si="18"/>
        <v>2664.4555</v>
      </c>
    </row>
    <row r="449" spans="1:12" x14ac:dyDescent="0.3">
      <c r="A449" s="1">
        <v>2020</v>
      </c>
      <c r="B449" s="20">
        <f t="shared" si="19"/>
        <v>44074</v>
      </c>
      <c r="C449" s="1">
        <v>26</v>
      </c>
      <c r="D449" s="1" t="s">
        <v>2</v>
      </c>
      <c r="E449" s="2">
        <v>3.19</v>
      </c>
      <c r="F449" s="1" t="s">
        <v>20</v>
      </c>
      <c r="H449" s="21" t="str">
        <f t="shared" si="20"/>
        <v/>
      </c>
      <c r="I449" s="21"/>
      <c r="J449" s="3">
        <v>3.19</v>
      </c>
      <c r="K449" s="1">
        <v>115.2</v>
      </c>
      <c r="L449" s="4">
        <f t="shared" si="18"/>
        <v>367.488</v>
      </c>
    </row>
    <row r="450" spans="1:12" x14ac:dyDescent="0.3">
      <c r="A450" s="1">
        <v>2020</v>
      </c>
      <c r="B450" s="20">
        <f t="shared" si="19"/>
        <v>44074</v>
      </c>
      <c r="C450" s="1">
        <v>27</v>
      </c>
      <c r="D450" s="1" t="s">
        <v>2</v>
      </c>
      <c r="E450" s="2">
        <v>25.9</v>
      </c>
      <c r="F450" s="1" t="s">
        <v>20</v>
      </c>
      <c r="H450" s="21" t="str">
        <f t="shared" si="20"/>
        <v/>
      </c>
      <c r="I450" s="21"/>
      <c r="J450" s="3">
        <v>25.9</v>
      </c>
      <c r="K450" s="1">
        <v>137.01</v>
      </c>
      <c r="L450" s="4">
        <f t="shared" ref="L450:L513" si="21">J450*K450</f>
        <v>3548.5589999999997</v>
      </c>
    </row>
    <row r="451" spans="1:12" x14ac:dyDescent="0.3">
      <c r="A451" s="1">
        <v>2020</v>
      </c>
      <c r="B451" s="20">
        <f t="shared" ref="B451:B514" si="22">IF(A451="","",DATE(A451,8,31))</f>
        <v>44074</v>
      </c>
      <c r="C451" s="1">
        <v>28</v>
      </c>
      <c r="D451" s="1" t="s">
        <v>2</v>
      </c>
      <c r="E451" s="2">
        <v>27.03</v>
      </c>
      <c r="F451" s="1" t="s">
        <v>20</v>
      </c>
      <c r="H451" s="21" t="str">
        <f t="shared" ref="H451:H514" si="23">IF(OR(G451="",B451=""),"",DATEDIF(G451,B451,"m"))</f>
        <v/>
      </c>
      <c r="I451" s="21"/>
      <c r="J451" s="3">
        <v>27.03</v>
      </c>
      <c r="K451" s="1">
        <v>136.99</v>
      </c>
      <c r="L451" s="4">
        <f t="shared" si="21"/>
        <v>3702.8397000000004</v>
      </c>
    </row>
    <row r="452" spans="1:12" x14ac:dyDescent="0.3">
      <c r="A452" s="1">
        <v>2020</v>
      </c>
      <c r="B452" s="20">
        <f t="shared" si="22"/>
        <v>44074</v>
      </c>
      <c r="C452" s="1">
        <v>33</v>
      </c>
      <c r="D452" s="1" t="s">
        <v>25</v>
      </c>
      <c r="E452" s="2">
        <v>7.07</v>
      </c>
      <c r="F452" s="1" t="s">
        <v>28</v>
      </c>
      <c r="H452" s="21" t="str">
        <f t="shared" si="23"/>
        <v/>
      </c>
      <c r="I452" s="21"/>
      <c r="J452" s="3">
        <v>7.07</v>
      </c>
      <c r="K452" s="1">
        <v>98.33</v>
      </c>
      <c r="L452" s="4">
        <f t="shared" si="21"/>
        <v>695.19310000000007</v>
      </c>
    </row>
    <row r="453" spans="1:12" x14ac:dyDescent="0.3">
      <c r="A453" s="1">
        <v>2020</v>
      </c>
      <c r="B453" s="20">
        <f t="shared" si="22"/>
        <v>44074</v>
      </c>
      <c r="C453" s="1">
        <v>45</v>
      </c>
      <c r="D453" s="1" t="s">
        <v>25</v>
      </c>
      <c r="E453" s="2">
        <v>10.68</v>
      </c>
      <c r="F453" s="1" t="s">
        <v>32</v>
      </c>
      <c r="H453" s="21" t="str">
        <f t="shared" si="23"/>
        <v/>
      </c>
      <c r="I453" s="21"/>
      <c r="J453" s="3">
        <v>10.68</v>
      </c>
      <c r="K453" s="1">
        <v>70.430000000000007</v>
      </c>
      <c r="L453" s="4">
        <f t="shared" si="21"/>
        <v>752.19240000000002</v>
      </c>
    </row>
    <row r="454" spans="1:12" x14ac:dyDescent="0.3">
      <c r="A454" s="1">
        <v>2020</v>
      </c>
      <c r="B454" s="20">
        <f t="shared" si="22"/>
        <v>44074</v>
      </c>
      <c r="C454" s="1">
        <v>46</v>
      </c>
      <c r="D454" s="1" t="s">
        <v>25</v>
      </c>
      <c r="E454" s="2">
        <v>5.85</v>
      </c>
      <c r="F454" s="1" t="s">
        <v>32</v>
      </c>
      <c r="H454" s="21" t="str">
        <f t="shared" si="23"/>
        <v/>
      </c>
      <c r="I454" s="21"/>
      <c r="J454" s="3">
        <v>5.85</v>
      </c>
      <c r="K454" s="1">
        <v>70.47</v>
      </c>
      <c r="L454" s="4">
        <f t="shared" si="21"/>
        <v>412.24949999999995</v>
      </c>
    </row>
    <row r="455" spans="1:12" x14ac:dyDescent="0.3">
      <c r="A455" s="1">
        <v>2020</v>
      </c>
      <c r="B455" s="20">
        <f t="shared" si="22"/>
        <v>44074</v>
      </c>
      <c r="C455" s="1">
        <v>47</v>
      </c>
      <c r="D455" s="1" t="s">
        <v>2</v>
      </c>
      <c r="E455" s="2">
        <v>7.73</v>
      </c>
      <c r="F455" s="1" t="s">
        <v>34</v>
      </c>
      <c r="H455" s="21" t="str">
        <f t="shared" si="23"/>
        <v/>
      </c>
      <c r="I455" s="21"/>
      <c r="J455" s="3">
        <v>7.73</v>
      </c>
      <c r="K455" s="1">
        <v>53.31</v>
      </c>
      <c r="L455" s="4">
        <f t="shared" si="21"/>
        <v>412.08630000000005</v>
      </c>
    </row>
    <row r="456" spans="1:12" x14ac:dyDescent="0.3">
      <c r="A456" s="1">
        <v>2020</v>
      </c>
      <c r="B456" s="20">
        <f t="shared" si="22"/>
        <v>44074</v>
      </c>
      <c r="C456" s="1">
        <v>48</v>
      </c>
      <c r="D456" s="1" t="s">
        <v>2</v>
      </c>
      <c r="E456" s="2">
        <v>4.1900000000000004</v>
      </c>
      <c r="F456" s="1" t="s">
        <v>34</v>
      </c>
      <c r="H456" s="21" t="str">
        <f t="shared" si="23"/>
        <v/>
      </c>
      <c r="I456" s="21"/>
      <c r="J456" s="3">
        <v>4.1900000000000004</v>
      </c>
      <c r="K456" s="1">
        <v>53.46</v>
      </c>
      <c r="L456" s="4">
        <f t="shared" si="21"/>
        <v>223.99740000000003</v>
      </c>
    </row>
    <row r="457" spans="1:12" x14ac:dyDescent="0.3">
      <c r="A457" s="1">
        <v>2020</v>
      </c>
      <c r="B457" s="20">
        <f t="shared" si="22"/>
        <v>44074</v>
      </c>
      <c r="C457" s="1">
        <v>58</v>
      </c>
      <c r="D457" s="1" t="s">
        <v>25</v>
      </c>
      <c r="E457" s="2">
        <v>48.97</v>
      </c>
      <c r="F457" s="1" t="s">
        <v>31</v>
      </c>
      <c r="H457" s="21" t="str">
        <f t="shared" si="23"/>
        <v/>
      </c>
      <c r="I457" s="21"/>
      <c r="J457" s="3">
        <v>48.97</v>
      </c>
      <c r="K457" s="1">
        <v>89.47</v>
      </c>
      <c r="L457" s="4">
        <f t="shared" si="21"/>
        <v>4381.3459000000003</v>
      </c>
    </row>
    <row r="458" spans="1:12" x14ac:dyDescent="0.3">
      <c r="A458" s="1">
        <v>2020</v>
      </c>
      <c r="B458" s="20">
        <f t="shared" si="22"/>
        <v>44074</v>
      </c>
      <c r="C458" s="1">
        <v>63</v>
      </c>
      <c r="D458" s="1" t="s">
        <v>2</v>
      </c>
      <c r="E458" s="2">
        <v>7.8</v>
      </c>
      <c r="F458" s="1" t="s">
        <v>29</v>
      </c>
      <c r="H458" s="21" t="str">
        <f t="shared" si="23"/>
        <v/>
      </c>
      <c r="I458" s="21"/>
      <c r="J458" s="3">
        <v>7.8</v>
      </c>
      <c r="K458" s="1">
        <v>64.33</v>
      </c>
      <c r="L458" s="4">
        <f t="shared" si="21"/>
        <v>501.774</v>
      </c>
    </row>
    <row r="459" spans="1:12" x14ac:dyDescent="0.3">
      <c r="A459" s="1">
        <v>2020</v>
      </c>
      <c r="B459" s="20">
        <f t="shared" si="22"/>
        <v>44074</v>
      </c>
      <c r="C459" s="1">
        <v>64</v>
      </c>
      <c r="D459" s="1" t="s">
        <v>2</v>
      </c>
      <c r="E459" s="2">
        <v>12.95</v>
      </c>
      <c r="F459" s="1" t="s">
        <v>29</v>
      </c>
      <c r="H459" s="21" t="str">
        <f t="shared" si="23"/>
        <v/>
      </c>
      <c r="I459" s="21"/>
      <c r="J459" s="3">
        <v>12.95</v>
      </c>
      <c r="K459" s="1">
        <v>64.34</v>
      </c>
      <c r="L459" s="4">
        <f t="shared" si="21"/>
        <v>833.20299999999997</v>
      </c>
    </row>
    <row r="460" spans="1:12" x14ac:dyDescent="0.3">
      <c r="A460" s="1">
        <v>2020</v>
      </c>
      <c r="B460" s="20">
        <f t="shared" si="22"/>
        <v>44074</v>
      </c>
      <c r="C460" s="1">
        <v>65</v>
      </c>
      <c r="D460" s="1" t="s">
        <v>2</v>
      </c>
      <c r="E460" s="2">
        <v>8.68</v>
      </c>
      <c r="F460" s="1" t="s">
        <v>29</v>
      </c>
      <c r="H460" s="21" t="str">
        <f t="shared" si="23"/>
        <v/>
      </c>
      <c r="I460" s="21"/>
      <c r="J460" s="3">
        <v>8.68</v>
      </c>
      <c r="K460" s="1">
        <v>64.290000000000006</v>
      </c>
      <c r="L460" s="4">
        <f t="shared" si="21"/>
        <v>558.03719999999998</v>
      </c>
    </row>
    <row r="461" spans="1:12" x14ac:dyDescent="0.3">
      <c r="A461" s="1">
        <v>2020</v>
      </c>
      <c r="B461" s="20">
        <f t="shared" si="22"/>
        <v>44074</v>
      </c>
      <c r="C461" s="1">
        <v>66</v>
      </c>
      <c r="D461" s="1" t="s">
        <v>2</v>
      </c>
      <c r="E461" s="2">
        <v>9.23</v>
      </c>
      <c r="F461" s="1" t="s">
        <v>35</v>
      </c>
      <c r="H461" s="21" t="str">
        <f t="shared" si="23"/>
        <v/>
      </c>
      <c r="I461" s="21"/>
      <c r="J461" s="3">
        <v>9.23</v>
      </c>
      <c r="K461" s="1">
        <v>64.3</v>
      </c>
      <c r="L461" s="4">
        <f t="shared" si="21"/>
        <v>593.48900000000003</v>
      </c>
    </row>
    <row r="462" spans="1:12" x14ac:dyDescent="0.3">
      <c r="A462" s="1">
        <v>2020</v>
      </c>
      <c r="B462" s="20">
        <f t="shared" si="22"/>
        <v>44074</v>
      </c>
      <c r="C462" s="1">
        <v>67</v>
      </c>
      <c r="D462" s="1" t="s">
        <v>2</v>
      </c>
      <c r="E462" s="2">
        <v>13.83</v>
      </c>
      <c r="F462" s="1" t="s">
        <v>35</v>
      </c>
      <c r="H462" s="21" t="str">
        <f t="shared" si="23"/>
        <v/>
      </c>
      <c r="I462" s="21"/>
      <c r="J462" s="3">
        <v>13.83</v>
      </c>
      <c r="K462" s="1">
        <v>64.319999999999993</v>
      </c>
      <c r="L462" s="4">
        <f t="shared" si="21"/>
        <v>889.54559999999992</v>
      </c>
    </row>
    <row r="463" spans="1:12" x14ac:dyDescent="0.3">
      <c r="A463" s="1">
        <v>2020</v>
      </c>
      <c r="B463" s="20">
        <f t="shared" si="22"/>
        <v>44074</v>
      </c>
      <c r="C463" s="1">
        <v>69</v>
      </c>
      <c r="D463" s="1" t="s">
        <v>2</v>
      </c>
      <c r="E463" s="2">
        <v>7.18</v>
      </c>
      <c r="F463" s="1" t="s">
        <v>35</v>
      </c>
      <c r="H463" s="21" t="str">
        <f t="shared" si="23"/>
        <v/>
      </c>
      <c r="I463" s="21"/>
      <c r="J463" s="3">
        <v>7.18</v>
      </c>
      <c r="K463" s="1">
        <v>64.28</v>
      </c>
      <c r="L463" s="4">
        <f t="shared" si="21"/>
        <v>461.53039999999999</v>
      </c>
    </row>
    <row r="464" spans="1:12" x14ac:dyDescent="0.3">
      <c r="A464" s="1">
        <v>2020</v>
      </c>
      <c r="B464" s="20">
        <f t="shared" si="22"/>
        <v>44074</v>
      </c>
      <c r="C464" s="1">
        <v>73</v>
      </c>
      <c r="D464" s="1" t="s">
        <v>2</v>
      </c>
      <c r="E464" s="2">
        <v>5.8</v>
      </c>
      <c r="F464" s="1" t="s">
        <v>30</v>
      </c>
      <c r="H464" s="21" t="str">
        <f t="shared" si="23"/>
        <v/>
      </c>
      <c r="I464" s="21"/>
      <c r="J464" s="3">
        <v>5.8</v>
      </c>
      <c r="K464" s="1">
        <v>64.319999999999993</v>
      </c>
      <c r="L464" s="4">
        <f t="shared" si="21"/>
        <v>373.05599999999993</v>
      </c>
    </row>
    <row r="465" spans="1:12" x14ac:dyDescent="0.3">
      <c r="A465" s="1">
        <v>2020</v>
      </c>
      <c r="B465" s="20">
        <f t="shared" si="22"/>
        <v>44074</v>
      </c>
      <c r="C465" s="1">
        <v>74</v>
      </c>
      <c r="D465" s="1" t="s">
        <v>2</v>
      </c>
      <c r="E465" s="2">
        <v>8.65</v>
      </c>
      <c r="F465" s="1" t="s">
        <v>30</v>
      </c>
      <c r="H465" s="21" t="str">
        <f t="shared" si="23"/>
        <v/>
      </c>
      <c r="I465" s="21"/>
      <c r="J465" s="3">
        <v>8.65</v>
      </c>
      <c r="K465" s="1">
        <v>64.33</v>
      </c>
      <c r="L465" s="4">
        <f t="shared" si="21"/>
        <v>556.45450000000005</v>
      </c>
    </row>
    <row r="466" spans="1:12" x14ac:dyDescent="0.3">
      <c r="A466" s="1">
        <v>2020</v>
      </c>
      <c r="B466" s="20">
        <f t="shared" si="22"/>
        <v>44074</v>
      </c>
      <c r="C466" s="1">
        <v>75</v>
      </c>
      <c r="D466" s="1" t="s">
        <v>2</v>
      </c>
      <c r="E466" s="2">
        <v>5.63</v>
      </c>
      <c r="F466" s="1" t="s">
        <v>30</v>
      </c>
      <c r="H466" s="21" t="str">
        <f t="shared" si="23"/>
        <v/>
      </c>
      <c r="I466" s="21"/>
      <c r="J466" s="3">
        <v>5.63</v>
      </c>
      <c r="K466" s="1">
        <v>64.260000000000005</v>
      </c>
      <c r="L466" s="4">
        <f t="shared" si="21"/>
        <v>361.78380000000004</v>
      </c>
    </row>
    <row r="467" spans="1:12" x14ac:dyDescent="0.3">
      <c r="A467" s="1">
        <v>2020</v>
      </c>
      <c r="B467" s="20">
        <f t="shared" si="22"/>
        <v>44074</v>
      </c>
      <c r="C467" s="1">
        <v>76</v>
      </c>
      <c r="D467" s="1" t="s">
        <v>2</v>
      </c>
      <c r="E467" s="2">
        <v>3.21</v>
      </c>
      <c r="F467" s="1" t="s">
        <v>30</v>
      </c>
      <c r="H467" s="21" t="str">
        <f t="shared" si="23"/>
        <v/>
      </c>
      <c r="I467" s="21"/>
      <c r="J467" s="3">
        <v>3.21</v>
      </c>
      <c r="K467" s="1">
        <v>64.33</v>
      </c>
      <c r="L467" s="4">
        <f t="shared" si="21"/>
        <v>206.49930000000001</v>
      </c>
    </row>
    <row r="468" spans="1:12" x14ac:dyDescent="0.3">
      <c r="A468" s="1">
        <v>2020</v>
      </c>
      <c r="B468" s="20">
        <f t="shared" si="22"/>
        <v>44074</v>
      </c>
      <c r="C468" s="1">
        <v>77</v>
      </c>
      <c r="D468" s="1" t="s">
        <v>2</v>
      </c>
      <c r="E468" s="2">
        <v>9.0299999999999994</v>
      </c>
      <c r="F468" s="1" t="s">
        <v>30</v>
      </c>
      <c r="H468" s="21" t="str">
        <f t="shared" si="23"/>
        <v/>
      </c>
      <c r="I468" s="21"/>
      <c r="J468" s="3">
        <v>9.0299999999999994</v>
      </c>
      <c r="K468" s="1">
        <v>64.3</v>
      </c>
      <c r="L468" s="4">
        <f t="shared" si="21"/>
        <v>580.62899999999991</v>
      </c>
    </row>
    <row r="469" spans="1:12" x14ac:dyDescent="0.3">
      <c r="A469" s="1">
        <v>2020</v>
      </c>
      <c r="B469" s="20">
        <f t="shared" si="22"/>
        <v>44074</v>
      </c>
      <c r="C469" s="1">
        <v>78</v>
      </c>
      <c r="D469" s="1" t="s">
        <v>2</v>
      </c>
      <c r="E469" s="2">
        <v>3.88</v>
      </c>
      <c r="F469" s="1" t="s">
        <v>30</v>
      </c>
      <c r="H469" s="21" t="str">
        <f t="shared" si="23"/>
        <v/>
      </c>
      <c r="I469" s="21"/>
      <c r="J469" s="3">
        <v>3.88</v>
      </c>
      <c r="K469" s="1">
        <v>64.209999999999994</v>
      </c>
      <c r="L469" s="4">
        <f t="shared" si="21"/>
        <v>249.13479999999996</v>
      </c>
    </row>
    <row r="470" spans="1:12" x14ac:dyDescent="0.3">
      <c r="A470" s="1">
        <v>2020</v>
      </c>
      <c r="B470" s="20">
        <f t="shared" si="22"/>
        <v>44074</v>
      </c>
      <c r="C470" s="1">
        <v>79</v>
      </c>
      <c r="D470" s="1" t="s">
        <v>2</v>
      </c>
      <c r="E470" s="2">
        <v>5.55</v>
      </c>
      <c r="F470" s="1" t="s">
        <v>29</v>
      </c>
      <c r="H470" s="21" t="str">
        <f t="shared" si="23"/>
        <v/>
      </c>
      <c r="I470" s="21"/>
      <c r="J470" s="3">
        <v>5.55</v>
      </c>
      <c r="K470" s="1">
        <v>53.34</v>
      </c>
      <c r="L470" s="4">
        <f t="shared" si="21"/>
        <v>296.03700000000003</v>
      </c>
    </row>
    <row r="471" spans="1:12" x14ac:dyDescent="0.3">
      <c r="A471" s="1">
        <v>2020</v>
      </c>
      <c r="B471" s="20">
        <f t="shared" si="22"/>
        <v>44074</v>
      </c>
      <c r="C471" s="1">
        <v>80</v>
      </c>
      <c r="D471" s="1" t="s">
        <v>2</v>
      </c>
      <c r="E471" s="2">
        <v>7.3</v>
      </c>
      <c r="F471" s="1" t="s">
        <v>30</v>
      </c>
      <c r="H471" s="21" t="str">
        <f t="shared" si="23"/>
        <v/>
      </c>
      <c r="I471" s="21"/>
      <c r="J471" s="3">
        <v>7.3</v>
      </c>
      <c r="K471" s="1">
        <v>53.34</v>
      </c>
      <c r="L471" s="4">
        <f t="shared" si="21"/>
        <v>389.38200000000001</v>
      </c>
    </row>
    <row r="472" spans="1:12" x14ac:dyDescent="0.3">
      <c r="A472" s="1">
        <v>2020</v>
      </c>
      <c r="B472" s="20">
        <f t="shared" si="22"/>
        <v>44074</v>
      </c>
      <c r="C472" s="1">
        <v>81</v>
      </c>
      <c r="D472" s="1" t="s">
        <v>2</v>
      </c>
      <c r="E472" s="2">
        <v>5.89</v>
      </c>
      <c r="F472" s="1" t="s">
        <v>30</v>
      </c>
      <c r="H472" s="21" t="str">
        <f t="shared" si="23"/>
        <v/>
      </c>
      <c r="I472" s="21"/>
      <c r="J472" s="3">
        <v>5.89</v>
      </c>
      <c r="K472" s="1">
        <v>53.43</v>
      </c>
      <c r="L472" s="4">
        <f t="shared" si="21"/>
        <v>314.70269999999999</v>
      </c>
    </row>
    <row r="473" spans="1:12" x14ac:dyDescent="0.3">
      <c r="A473" s="1">
        <v>2020</v>
      </c>
      <c r="B473" s="20">
        <f t="shared" si="22"/>
        <v>44074</v>
      </c>
      <c r="C473" s="1">
        <v>82</v>
      </c>
      <c r="D473" s="1" t="s">
        <v>2</v>
      </c>
      <c r="E473" s="2">
        <v>5.46</v>
      </c>
      <c r="F473" s="1" t="s">
        <v>30</v>
      </c>
      <c r="H473" s="21" t="str">
        <f t="shared" si="23"/>
        <v/>
      </c>
      <c r="I473" s="21"/>
      <c r="J473" s="3">
        <v>5.46</v>
      </c>
      <c r="K473" s="1">
        <v>53.24</v>
      </c>
      <c r="L473" s="4">
        <f t="shared" si="21"/>
        <v>290.69040000000001</v>
      </c>
    </row>
    <row r="474" spans="1:12" x14ac:dyDescent="0.3">
      <c r="A474" s="1">
        <v>2020</v>
      </c>
      <c r="B474" s="20">
        <f t="shared" si="22"/>
        <v>44074</v>
      </c>
      <c r="C474" s="1">
        <v>83</v>
      </c>
      <c r="D474" s="1" t="s">
        <v>2</v>
      </c>
      <c r="E474" s="2">
        <v>7.86</v>
      </c>
      <c r="F474" s="1" t="s">
        <v>34</v>
      </c>
      <c r="H474" s="21" t="str">
        <f t="shared" si="23"/>
        <v/>
      </c>
      <c r="I474" s="21"/>
      <c r="J474" s="3">
        <v>7.86</v>
      </c>
      <c r="K474" s="1">
        <v>53.27</v>
      </c>
      <c r="L474" s="4">
        <f t="shared" si="21"/>
        <v>418.70220000000006</v>
      </c>
    </row>
    <row r="475" spans="1:12" x14ac:dyDescent="0.3">
      <c r="A475" s="1">
        <v>2020</v>
      </c>
      <c r="B475" s="20">
        <f t="shared" si="22"/>
        <v>44074</v>
      </c>
      <c r="C475" s="1">
        <v>84</v>
      </c>
      <c r="D475" s="1" t="s">
        <v>2</v>
      </c>
      <c r="E475" s="2">
        <v>8.4600000000000009</v>
      </c>
      <c r="F475" s="1" t="s">
        <v>34</v>
      </c>
      <c r="H475" s="21" t="str">
        <f t="shared" si="23"/>
        <v/>
      </c>
      <c r="I475" s="21"/>
      <c r="J475" s="3">
        <v>8.4600000000000009</v>
      </c>
      <c r="K475" s="1">
        <v>53.28</v>
      </c>
      <c r="L475" s="4">
        <f t="shared" si="21"/>
        <v>450.74880000000007</v>
      </c>
    </row>
    <row r="476" spans="1:12" x14ac:dyDescent="0.3">
      <c r="A476" s="1">
        <v>2020</v>
      </c>
      <c r="B476" s="20">
        <f t="shared" si="22"/>
        <v>44074</v>
      </c>
      <c r="C476" s="1">
        <v>85</v>
      </c>
      <c r="D476" s="1" t="s">
        <v>2</v>
      </c>
      <c r="E476" s="2">
        <v>3.37</v>
      </c>
      <c r="F476" s="1" t="s">
        <v>34</v>
      </c>
      <c r="H476" s="21" t="str">
        <f t="shared" si="23"/>
        <v/>
      </c>
      <c r="I476" s="21"/>
      <c r="J476" s="3">
        <v>3.37</v>
      </c>
      <c r="K476" s="1">
        <v>53.41</v>
      </c>
      <c r="L476" s="4">
        <f t="shared" si="21"/>
        <v>179.99169999999998</v>
      </c>
    </row>
    <row r="477" spans="1:12" x14ac:dyDescent="0.3">
      <c r="A477" s="1">
        <v>2020</v>
      </c>
      <c r="B477" s="20">
        <f t="shared" si="22"/>
        <v>44074</v>
      </c>
      <c r="C477" s="1">
        <v>86</v>
      </c>
      <c r="D477" s="1" t="s">
        <v>2</v>
      </c>
      <c r="E477" s="2">
        <v>2.65</v>
      </c>
      <c r="F477" s="1" t="s">
        <v>34</v>
      </c>
      <c r="H477" s="21" t="str">
        <f t="shared" si="23"/>
        <v/>
      </c>
      <c r="I477" s="21"/>
      <c r="J477" s="3">
        <v>2.65</v>
      </c>
      <c r="K477" s="1">
        <v>53.62</v>
      </c>
      <c r="L477" s="4">
        <f t="shared" si="21"/>
        <v>142.09299999999999</v>
      </c>
    </row>
    <row r="478" spans="1:12" x14ac:dyDescent="0.3">
      <c r="A478" s="1">
        <v>2020</v>
      </c>
      <c r="B478" s="20">
        <f t="shared" si="22"/>
        <v>44074</v>
      </c>
      <c r="C478" s="1">
        <v>87</v>
      </c>
      <c r="D478" s="1" t="s">
        <v>2</v>
      </c>
      <c r="E478" s="2">
        <v>20.41</v>
      </c>
      <c r="F478" s="1" t="s">
        <v>34</v>
      </c>
      <c r="H478" s="21" t="str">
        <f t="shared" si="23"/>
        <v/>
      </c>
      <c r="I478" s="21"/>
      <c r="J478" s="3">
        <v>20.41</v>
      </c>
      <c r="K478" s="1">
        <v>57.73</v>
      </c>
      <c r="L478" s="4">
        <f t="shared" si="21"/>
        <v>1178.2692999999999</v>
      </c>
    </row>
    <row r="479" spans="1:12" x14ac:dyDescent="0.3">
      <c r="A479" s="1">
        <v>2020</v>
      </c>
      <c r="B479" s="20">
        <f t="shared" si="22"/>
        <v>44074</v>
      </c>
      <c r="C479" s="1">
        <v>91</v>
      </c>
      <c r="D479" s="1" t="s">
        <v>25</v>
      </c>
      <c r="E479" s="2">
        <v>33.619999999999997</v>
      </c>
      <c r="F479" s="1" t="s">
        <v>32</v>
      </c>
      <c r="H479" s="21" t="str">
        <f t="shared" si="23"/>
        <v/>
      </c>
      <c r="I479" s="21"/>
      <c r="J479" s="3">
        <v>33.619999999999997</v>
      </c>
      <c r="K479" s="1">
        <v>70.44</v>
      </c>
      <c r="L479" s="4">
        <f t="shared" si="21"/>
        <v>2368.1927999999998</v>
      </c>
    </row>
    <row r="480" spans="1:12" x14ac:dyDescent="0.3">
      <c r="A480" s="1">
        <v>2020</v>
      </c>
      <c r="B480" s="20">
        <f t="shared" si="22"/>
        <v>44074</v>
      </c>
      <c r="C480" s="1">
        <v>92</v>
      </c>
      <c r="D480" s="1" t="s">
        <v>25</v>
      </c>
      <c r="E480" s="2">
        <v>96.93</v>
      </c>
      <c r="F480" s="1" t="s">
        <v>28</v>
      </c>
      <c r="H480" s="21" t="str">
        <f t="shared" si="23"/>
        <v/>
      </c>
      <c r="I480" s="21"/>
      <c r="J480" s="3">
        <v>96.93</v>
      </c>
      <c r="K480" s="1">
        <v>98.46</v>
      </c>
      <c r="L480" s="4">
        <f t="shared" si="21"/>
        <v>9543.7278000000006</v>
      </c>
    </row>
    <row r="481" spans="1:12" x14ac:dyDescent="0.3">
      <c r="A481" s="1">
        <v>2020</v>
      </c>
      <c r="B481" s="20">
        <f t="shared" si="22"/>
        <v>44074</v>
      </c>
      <c r="C481" s="1">
        <v>93</v>
      </c>
      <c r="D481" s="1" t="s">
        <v>3</v>
      </c>
      <c r="E481" s="2">
        <v>17.53</v>
      </c>
      <c r="F481" s="1" t="s">
        <v>20</v>
      </c>
      <c r="H481" s="21" t="str">
        <f t="shared" si="23"/>
        <v/>
      </c>
      <c r="I481" s="21"/>
      <c r="J481" s="3">
        <v>17.53</v>
      </c>
      <c r="K481" s="1">
        <v>170.58</v>
      </c>
      <c r="L481" s="4">
        <f t="shared" si="21"/>
        <v>2990.2674000000006</v>
      </c>
    </row>
    <row r="482" spans="1:12" x14ac:dyDescent="0.3">
      <c r="A482" s="1">
        <v>2020</v>
      </c>
      <c r="B482" s="20">
        <f t="shared" si="22"/>
        <v>44074</v>
      </c>
      <c r="C482" s="1">
        <v>94</v>
      </c>
      <c r="D482" s="1" t="s">
        <v>3</v>
      </c>
      <c r="E482" s="2">
        <v>22.62</v>
      </c>
      <c r="F482" s="1" t="s">
        <v>20</v>
      </c>
      <c r="H482" s="21" t="str">
        <f t="shared" si="23"/>
        <v/>
      </c>
      <c r="I482" s="21"/>
      <c r="J482" s="3">
        <v>22.62</v>
      </c>
      <c r="K482" s="1">
        <v>72.400000000000006</v>
      </c>
      <c r="L482" s="4">
        <f t="shared" si="21"/>
        <v>1637.6880000000001</v>
      </c>
    </row>
    <row r="483" spans="1:12" x14ac:dyDescent="0.3">
      <c r="A483" s="1">
        <v>2020</v>
      </c>
      <c r="B483" s="20">
        <f t="shared" si="22"/>
        <v>44074</v>
      </c>
      <c r="C483" s="1">
        <v>95</v>
      </c>
      <c r="D483" s="1" t="s">
        <v>3</v>
      </c>
      <c r="E483" s="2">
        <v>36.9</v>
      </c>
      <c r="F483" s="1" t="s">
        <v>20</v>
      </c>
      <c r="H483" s="21" t="str">
        <f t="shared" si="23"/>
        <v/>
      </c>
      <c r="I483" s="21"/>
      <c r="J483" s="3">
        <v>36.9</v>
      </c>
      <c r="K483" s="1">
        <v>108.1</v>
      </c>
      <c r="L483" s="4">
        <f t="shared" si="21"/>
        <v>3988.8899999999994</v>
      </c>
    </row>
    <row r="484" spans="1:12" x14ac:dyDescent="0.3">
      <c r="A484" s="1">
        <v>2021</v>
      </c>
      <c r="B484" s="20">
        <f t="shared" si="22"/>
        <v>44439</v>
      </c>
      <c r="C484" s="1">
        <v>1</v>
      </c>
      <c r="D484" s="1" t="s">
        <v>25</v>
      </c>
      <c r="E484" s="2">
        <v>15.75</v>
      </c>
      <c r="F484" s="1" t="s">
        <v>32</v>
      </c>
      <c r="H484" s="21" t="str">
        <f t="shared" si="23"/>
        <v/>
      </c>
      <c r="I484" s="21"/>
      <c r="J484" s="3">
        <v>15.75</v>
      </c>
      <c r="K484" s="1">
        <v>67.59</v>
      </c>
      <c r="L484" s="4">
        <f t="shared" si="21"/>
        <v>1064.5425</v>
      </c>
    </row>
    <row r="485" spans="1:12" x14ac:dyDescent="0.3">
      <c r="A485" s="1">
        <v>2021</v>
      </c>
      <c r="B485" s="20">
        <f t="shared" si="22"/>
        <v>44439</v>
      </c>
      <c r="C485" s="1">
        <v>2</v>
      </c>
      <c r="D485" s="1" t="s">
        <v>25</v>
      </c>
      <c r="E485" s="2">
        <v>22.24</v>
      </c>
      <c r="F485" s="1" t="s">
        <v>32</v>
      </c>
      <c r="H485" s="21" t="str">
        <f t="shared" si="23"/>
        <v/>
      </c>
      <c r="I485" s="21"/>
      <c r="J485" s="3">
        <v>22.24</v>
      </c>
      <c r="K485" s="1">
        <v>67.59</v>
      </c>
      <c r="L485" s="4">
        <f t="shared" si="21"/>
        <v>1503.2015999999999</v>
      </c>
    </row>
    <row r="486" spans="1:12" x14ac:dyDescent="0.3">
      <c r="A486" s="1">
        <v>2021</v>
      </c>
      <c r="B486" s="20">
        <f t="shared" si="22"/>
        <v>44439</v>
      </c>
      <c r="C486" s="1">
        <v>3</v>
      </c>
      <c r="D486" s="1" t="s">
        <v>3</v>
      </c>
      <c r="E486" s="2">
        <v>20.6</v>
      </c>
      <c r="F486" s="1" t="s">
        <v>19</v>
      </c>
      <c r="H486" s="21" t="str">
        <f t="shared" si="23"/>
        <v/>
      </c>
      <c r="I486" s="21"/>
      <c r="J486" s="3">
        <v>20.6</v>
      </c>
      <c r="K486" s="1">
        <v>104.44</v>
      </c>
      <c r="L486" s="4">
        <f t="shared" si="21"/>
        <v>2151.4639999999999</v>
      </c>
    </row>
    <row r="487" spans="1:12" x14ac:dyDescent="0.3">
      <c r="A487" s="1">
        <v>2021</v>
      </c>
      <c r="B487" s="20">
        <f t="shared" si="22"/>
        <v>44439</v>
      </c>
      <c r="C487" s="1">
        <v>8</v>
      </c>
      <c r="D487" s="1" t="s">
        <v>4</v>
      </c>
      <c r="E487" s="2">
        <v>5.51</v>
      </c>
      <c r="F487" s="1" t="s">
        <v>19</v>
      </c>
      <c r="H487" s="21" t="str">
        <f t="shared" si="23"/>
        <v/>
      </c>
      <c r="I487" s="21"/>
      <c r="J487" s="3">
        <v>5.51</v>
      </c>
      <c r="K487" s="1">
        <v>96.04</v>
      </c>
      <c r="L487" s="4">
        <f t="shared" si="21"/>
        <v>529.18039999999996</v>
      </c>
    </row>
    <row r="488" spans="1:12" x14ac:dyDescent="0.3">
      <c r="A488" s="1">
        <v>2021</v>
      </c>
      <c r="B488" s="20">
        <f t="shared" si="22"/>
        <v>44439</v>
      </c>
      <c r="C488" s="1">
        <v>10</v>
      </c>
      <c r="D488" s="1" t="s">
        <v>2</v>
      </c>
      <c r="E488" s="2">
        <v>6.43</v>
      </c>
      <c r="F488" s="1" t="s">
        <v>35</v>
      </c>
      <c r="H488" s="21" t="str">
        <f t="shared" si="23"/>
        <v/>
      </c>
      <c r="I488" s="21"/>
      <c r="J488" s="3">
        <v>6.43</v>
      </c>
      <c r="K488" s="1">
        <v>40.28</v>
      </c>
      <c r="L488" s="4">
        <f t="shared" si="21"/>
        <v>259.00040000000001</v>
      </c>
    </row>
    <row r="489" spans="1:12" x14ac:dyDescent="0.3">
      <c r="A489" s="1">
        <v>2021</v>
      </c>
      <c r="B489" s="20">
        <f t="shared" si="22"/>
        <v>44439</v>
      </c>
      <c r="C489" s="1">
        <v>12</v>
      </c>
      <c r="D489" s="1" t="s">
        <v>2</v>
      </c>
      <c r="E489" s="2">
        <v>4.66</v>
      </c>
      <c r="F489" s="1" t="s">
        <v>35</v>
      </c>
      <c r="H489" s="21" t="str">
        <f t="shared" si="23"/>
        <v/>
      </c>
      <c r="I489" s="21"/>
      <c r="J489" s="3">
        <v>4.66</v>
      </c>
      <c r="K489" s="1">
        <v>40.22</v>
      </c>
      <c r="L489" s="4">
        <f t="shared" si="21"/>
        <v>187.42519999999999</v>
      </c>
    </row>
    <row r="490" spans="1:12" x14ac:dyDescent="0.3">
      <c r="A490" s="1">
        <v>2021</v>
      </c>
      <c r="B490" s="20">
        <f t="shared" si="22"/>
        <v>44439</v>
      </c>
      <c r="C490" s="1">
        <v>14</v>
      </c>
      <c r="D490" s="1" t="s">
        <v>2</v>
      </c>
      <c r="E490" s="2">
        <v>7.2</v>
      </c>
      <c r="F490" s="1" t="s">
        <v>35</v>
      </c>
      <c r="H490" s="21" t="str">
        <f t="shared" si="23"/>
        <v/>
      </c>
      <c r="I490" s="21"/>
      <c r="J490" s="3">
        <v>7.2</v>
      </c>
      <c r="K490" s="1">
        <v>40.22</v>
      </c>
      <c r="L490" s="4">
        <f t="shared" si="21"/>
        <v>289.584</v>
      </c>
    </row>
    <row r="491" spans="1:12" x14ac:dyDescent="0.3">
      <c r="A491" s="1">
        <v>2021</v>
      </c>
      <c r="B491" s="20">
        <f t="shared" si="22"/>
        <v>44439</v>
      </c>
      <c r="C491" s="1">
        <v>15</v>
      </c>
      <c r="D491" s="1" t="s">
        <v>2</v>
      </c>
      <c r="E491" s="2">
        <v>11.45</v>
      </c>
      <c r="F491" s="1" t="s">
        <v>19</v>
      </c>
      <c r="H491" s="21" t="str">
        <f t="shared" si="23"/>
        <v/>
      </c>
      <c r="I491" s="21"/>
      <c r="J491" s="3">
        <v>11.45</v>
      </c>
      <c r="K491" s="1">
        <v>68.55</v>
      </c>
      <c r="L491" s="4">
        <f t="shared" si="21"/>
        <v>784.89749999999992</v>
      </c>
    </row>
    <row r="492" spans="1:12" x14ac:dyDescent="0.3">
      <c r="A492" s="1">
        <v>2021</v>
      </c>
      <c r="B492" s="20">
        <f t="shared" si="22"/>
        <v>44439</v>
      </c>
      <c r="C492" s="1">
        <v>16</v>
      </c>
      <c r="D492" s="1" t="s">
        <v>3</v>
      </c>
      <c r="E492" s="2">
        <v>10.95</v>
      </c>
      <c r="F492" s="1" t="s">
        <v>35</v>
      </c>
      <c r="H492" s="21" t="str">
        <f t="shared" si="23"/>
        <v/>
      </c>
      <c r="I492" s="21"/>
      <c r="J492" s="3">
        <v>10.95</v>
      </c>
      <c r="K492" s="1">
        <v>46.93</v>
      </c>
      <c r="L492" s="4">
        <f t="shared" si="21"/>
        <v>513.88349999999991</v>
      </c>
    </row>
    <row r="493" spans="1:12" x14ac:dyDescent="0.3">
      <c r="A493" s="1">
        <v>2021</v>
      </c>
      <c r="B493" s="20">
        <f t="shared" si="22"/>
        <v>44439</v>
      </c>
      <c r="C493" s="1">
        <v>17</v>
      </c>
      <c r="D493" s="1" t="s">
        <v>2</v>
      </c>
      <c r="E493" s="2">
        <v>9.4499999999999993</v>
      </c>
      <c r="F493" s="1" t="s">
        <v>35</v>
      </c>
      <c r="H493" s="21" t="str">
        <f t="shared" si="23"/>
        <v/>
      </c>
      <c r="I493" s="21"/>
      <c r="J493" s="3">
        <v>9.4499999999999993</v>
      </c>
      <c r="K493" s="1">
        <v>52.95</v>
      </c>
      <c r="L493" s="4">
        <f t="shared" si="21"/>
        <v>500.3775</v>
      </c>
    </row>
    <row r="494" spans="1:12" x14ac:dyDescent="0.3">
      <c r="A494" s="1">
        <v>2021</v>
      </c>
      <c r="B494" s="20">
        <f t="shared" si="22"/>
        <v>44439</v>
      </c>
      <c r="C494" s="1">
        <v>18</v>
      </c>
      <c r="D494" s="1" t="s">
        <v>25</v>
      </c>
      <c r="E494" s="2">
        <v>4.37</v>
      </c>
      <c r="F494" s="1" t="s">
        <v>32</v>
      </c>
      <c r="H494" s="21" t="str">
        <f t="shared" si="23"/>
        <v/>
      </c>
      <c r="I494" s="21"/>
      <c r="J494" s="3">
        <v>4.37</v>
      </c>
      <c r="K494" s="1">
        <v>28.77</v>
      </c>
      <c r="L494" s="4">
        <f t="shared" si="21"/>
        <v>125.72490000000001</v>
      </c>
    </row>
    <row r="495" spans="1:12" x14ac:dyDescent="0.3">
      <c r="A495" s="1">
        <v>2021</v>
      </c>
      <c r="B495" s="20">
        <f t="shared" si="22"/>
        <v>44439</v>
      </c>
      <c r="C495" s="1">
        <v>19</v>
      </c>
      <c r="D495" s="1" t="s">
        <v>25</v>
      </c>
      <c r="E495" s="2">
        <v>13.15</v>
      </c>
      <c r="F495" s="1" t="s">
        <v>32</v>
      </c>
      <c r="H495" s="21" t="str">
        <f t="shared" si="23"/>
        <v/>
      </c>
      <c r="I495" s="21"/>
      <c r="J495" s="3">
        <v>13.15</v>
      </c>
      <c r="K495" s="1">
        <v>28.74</v>
      </c>
      <c r="L495" s="4">
        <f t="shared" si="21"/>
        <v>377.93099999999998</v>
      </c>
    </row>
    <row r="496" spans="1:12" x14ac:dyDescent="0.3">
      <c r="A496" s="1">
        <v>2021</v>
      </c>
      <c r="B496" s="20">
        <f t="shared" si="22"/>
        <v>44439</v>
      </c>
      <c r="C496" s="1">
        <v>20</v>
      </c>
      <c r="D496" s="1" t="s">
        <v>2</v>
      </c>
      <c r="E496" s="2">
        <v>4.95</v>
      </c>
      <c r="F496" s="1" t="s">
        <v>35</v>
      </c>
      <c r="G496" s="20">
        <v>41334</v>
      </c>
      <c r="H496" s="21">
        <f t="shared" si="23"/>
        <v>101</v>
      </c>
      <c r="I496" s="24">
        <f>H496/12</f>
        <v>8.4166666666666661</v>
      </c>
      <c r="J496" s="3">
        <v>4.95</v>
      </c>
      <c r="K496" s="1">
        <v>64.349999999999994</v>
      </c>
      <c r="L496" s="4">
        <f t="shared" si="21"/>
        <v>318.53249999999997</v>
      </c>
    </row>
    <row r="497" spans="1:12" x14ac:dyDescent="0.3">
      <c r="A497" s="1">
        <v>2021</v>
      </c>
      <c r="B497" s="20">
        <f t="shared" si="22"/>
        <v>44439</v>
      </c>
      <c r="C497" s="1">
        <v>21</v>
      </c>
      <c r="D497" s="1" t="s">
        <v>25</v>
      </c>
      <c r="E497" s="2">
        <v>13.15</v>
      </c>
      <c r="F497" s="1" t="s">
        <v>32</v>
      </c>
      <c r="H497" s="21" t="str">
        <f t="shared" si="23"/>
        <v/>
      </c>
      <c r="I497" s="21"/>
      <c r="J497" s="3">
        <v>13.15</v>
      </c>
      <c r="K497" s="1">
        <v>28.74</v>
      </c>
      <c r="L497" s="4">
        <f t="shared" si="21"/>
        <v>377.93099999999998</v>
      </c>
    </row>
    <row r="498" spans="1:12" x14ac:dyDescent="0.3">
      <c r="A498" s="1">
        <v>2021</v>
      </c>
      <c r="B498" s="20">
        <f t="shared" si="22"/>
        <v>44439</v>
      </c>
      <c r="C498" s="1">
        <v>22</v>
      </c>
      <c r="D498" s="1" t="s">
        <v>25</v>
      </c>
      <c r="E498" s="2">
        <v>19.98</v>
      </c>
      <c r="F498" s="1" t="s">
        <v>32</v>
      </c>
      <c r="H498" s="21" t="str">
        <f t="shared" si="23"/>
        <v/>
      </c>
      <c r="I498" s="21"/>
      <c r="J498" s="3">
        <v>19.98</v>
      </c>
      <c r="K498" s="1">
        <v>67.58</v>
      </c>
      <c r="L498" s="4">
        <f t="shared" si="21"/>
        <v>1350.2483999999999</v>
      </c>
    </row>
    <row r="499" spans="1:12" x14ac:dyDescent="0.3">
      <c r="A499" s="1">
        <v>2021</v>
      </c>
      <c r="B499" s="20">
        <f t="shared" si="22"/>
        <v>44439</v>
      </c>
      <c r="C499" s="1">
        <v>24</v>
      </c>
      <c r="D499" s="1" t="s">
        <v>2</v>
      </c>
      <c r="E499" s="2">
        <v>7.86</v>
      </c>
      <c r="F499" s="1" t="s">
        <v>28</v>
      </c>
      <c r="H499" s="21" t="str">
        <f t="shared" si="23"/>
        <v/>
      </c>
      <c r="I499" s="21"/>
      <c r="J499" s="3">
        <v>7.86</v>
      </c>
      <c r="K499" s="1">
        <v>55.79</v>
      </c>
      <c r="L499" s="4">
        <f t="shared" si="21"/>
        <v>438.50940000000003</v>
      </c>
    </row>
    <row r="500" spans="1:12" x14ac:dyDescent="0.3">
      <c r="A500" s="1">
        <v>2021</v>
      </c>
      <c r="B500" s="20">
        <f t="shared" si="22"/>
        <v>44439</v>
      </c>
      <c r="C500" s="1">
        <v>25</v>
      </c>
      <c r="D500" s="1" t="s">
        <v>2</v>
      </c>
      <c r="E500" s="2">
        <v>25.17</v>
      </c>
      <c r="F500" s="1" t="s">
        <v>28</v>
      </c>
      <c r="H500" s="21" t="str">
        <f t="shared" si="23"/>
        <v/>
      </c>
      <c r="I500" s="21"/>
      <c r="J500" s="3">
        <v>25.17</v>
      </c>
      <c r="K500" s="1">
        <v>55.79</v>
      </c>
      <c r="L500" s="4">
        <f t="shared" si="21"/>
        <v>1404.2343000000001</v>
      </c>
    </row>
    <row r="501" spans="1:12" x14ac:dyDescent="0.3">
      <c r="A501" s="1">
        <v>2021</v>
      </c>
      <c r="B501" s="20">
        <f t="shared" si="22"/>
        <v>44439</v>
      </c>
      <c r="C501" s="1">
        <v>26</v>
      </c>
      <c r="D501" s="1" t="s">
        <v>2</v>
      </c>
      <c r="E501" s="2">
        <v>18.079999999999998</v>
      </c>
      <c r="F501" s="1" t="s">
        <v>28</v>
      </c>
      <c r="H501" s="21" t="str">
        <f t="shared" si="23"/>
        <v/>
      </c>
      <c r="I501" s="21"/>
      <c r="J501" s="3">
        <v>18.079999999999998</v>
      </c>
      <c r="K501" s="1">
        <v>55.76</v>
      </c>
      <c r="L501" s="4">
        <f t="shared" si="21"/>
        <v>1008.1407999999999</v>
      </c>
    </row>
    <row r="502" spans="1:12" x14ac:dyDescent="0.3">
      <c r="A502" s="1">
        <v>2021</v>
      </c>
      <c r="B502" s="20">
        <f t="shared" si="22"/>
        <v>44439</v>
      </c>
      <c r="C502" s="1">
        <v>27</v>
      </c>
      <c r="D502" s="1" t="s">
        <v>2</v>
      </c>
      <c r="E502" s="2">
        <v>25.9</v>
      </c>
      <c r="F502" s="1" t="s">
        <v>28</v>
      </c>
      <c r="H502" s="21" t="str">
        <f t="shared" si="23"/>
        <v/>
      </c>
      <c r="I502" s="21"/>
      <c r="J502" s="3">
        <v>25.9</v>
      </c>
      <c r="K502" s="1">
        <v>55.78</v>
      </c>
      <c r="L502" s="4">
        <f t="shared" si="21"/>
        <v>1444.702</v>
      </c>
    </row>
    <row r="503" spans="1:12" x14ac:dyDescent="0.3">
      <c r="A503" s="1">
        <v>2021</v>
      </c>
      <c r="B503" s="20">
        <f t="shared" si="22"/>
        <v>44439</v>
      </c>
      <c r="C503" s="1">
        <v>28</v>
      </c>
      <c r="D503" s="1" t="s">
        <v>2</v>
      </c>
      <c r="E503" s="2">
        <v>27.03</v>
      </c>
      <c r="F503" s="1" t="s">
        <v>28</v>
      </c>
      <c r="H503" s="21" t="str">
        <f t="shared" si="23"/>
        <v/>
      </c>
      <c r="I503" s="21"/>
      <c r="J503" s="3">
        <v>27.03</v>
      </c>
      <c r="K503" s="1">
        <v>55.78</v>
      </c>
      <c r="L503" s="4">
        <f t="shared" si="21"/>
        <v>1507.7334000000001</v>
      </c>
    </row>
    <row r="504" spans="1:12" x14ac:dyDescent="0.3">
      <c r="A504" s="1">
        <v>2021</v>
      </c>
      <c r="B504" s="20">
        <f t="shared" si="22"/>
        <v>44439</v>
      </c>
      <c r="C504" s="1">
        <v>33</v>
      </c>
      <c r="D504" s="1" t="s">
        <v>25</v>
      </c>
      <c r="E504" s="2">
        <v>7.07</v>
      </c>
      <c r="F504" s="1" t="s">
        <v>31</v>
      </c>
      <c r="H504" s="21" t="str">
        <f t="shared" si="23"/>
        <v/>
      </c>
      <c r="I504" s="21"/>
      <c r="J504" s="3">
        <v>7.07</v>
      </c>
      <c r="K504" s="1">
        <v>4.72</v>
      </c>
      <c r="L504" s="4">
        <f t="shared" si="21"/>
        <v>33.370399999999997</v>
      </c>
    </row>
    <row r="505" spans="1:12" x14ac:dyDescent="0.3">
      <c r="A505" s="1">
        <v>2021</v>
      </c>
      <c r="B505" s="20">
        <f t="shared" si="22"/>
        <v>44439</v>
      </c>
      <c r="C505" s="1">
        <v>52</v>
      </c>
      <c r="D505" s="1" t="s">
        <v>2</v>
      </c>
      <c r="E505" s="2">
        <v>13.48</v>
      </c>
      <c r="F505" s="1" t="s">
        <v>19</v>
      </c>
      <c r="H505" s="21" t="str">
        <f t="shared" si="23"/>
        <v/>
      </c>
      <c r="I505" s="21"/>
      <c r="J505" s="3">
        <v>13.48</v>
      </c>
      <c r="K505" s="1">
        <v>64.55</v>
      </c>
      <c r="L505" s="4">
        <f t="shared" si="21"/>
        <v>870.13400000000001</v>
      </c>
    </row>
    <row r="506" spans="1:12" x14ac:dyDescent="0.3">
      <c r="A506" s="1">
        <v>2021</v>
      </c>
      <c r="B506" s="20">
        <f t="shared" si="22"/>
        <v>44439</v>
      </c>
      <c r="C506" s="1">
        <v>53</v>
      </c>
      <c r="D506" s="1" t="s">
        <v>2</v>
      </c>
      <c r="E506" s="2">
        <v>21.75</v>
      </c>
      <c r="F506" s="1" t="s">
        <v>19</v>
      </c>
      <c r="H506" s="21" t="str">
        <f t="shared" si="23"/>
        <v/>
      </c>
      <c r="I506" s="21"/>
      <c r="J506" s="3">
        <v>21.75</v>
      </c>
      <c r="K506" s="1">
        <v>58.19</v>
      </c>
      <c r="L506" s="4">
        <f t="shared" si="21"/>
        <v>1265.6324999999999</v>
      </c>
    </row>
    <row r="507" spans="1:12" x14ac:dyDescent="0.3">
      <c r="A507" s="1">
        <v>2021</v>
      </c>
      <c r="B507" s="20">
        <f t="shared" si="22"/>
        <v>44439</v>
      </c>
      <c r="C507" s="1">
        <v>54</v>
      </c>
      <c r="D507" s="1" t="s">
        <v>3</v>
      </c>
      <c r="E507" s="2">
        <v>14.41</v>
      </c>
      <c r="F507" s="1" t="s">
        <v>19</v>
      </c>
      <c r="H507" s="21" t="str">
        <f t="shared" si="23"/>
        <v/>
      </c>
      <c r="I507" s="21"/>
      <c r="J507" s="3">
        <v>14.41</v>
      </c>
      <c r="K507" s="1">
        <v>110.62</v>
      </c>
      <c r="L507" s="4">
        <f t="shared" si="21"/>
        <v>1594.0342000000001</v>
      </c>
    </row>
    <row r="508" spans="1:12" x14ac:dyDescent="0.3">
      <c r="A508" s="1">
        <v>2021</v>
      </c>
      <c r="B508" s="20">
        <f t="shared" si="22"/>
        <v>44439</v>
      </c>
      <c r="C508" s="1">
        <v>55</v>
      </c>
      <c r="D508" s="1" t="s">
        <v>3</v>
      </c>
      <c r="E508" s="2">
        <v>21.59</v>
      </c>
      <c r="F508" s="1" t="s">
        <v>19</v>
      </c>
      <c r="H508" s="21" t="str">
        <f t="shared" si="23"/>
        <v/>
      </c>
      <c r="I508" s="21"/>
      <c r="J508" s="3">
        <v>21.59</v>
      </c>
      <c r="K508" s="1">
        <v>110.6</v>
      </c>
      <c r="L508" s="4">
        <f t="shared" si="21"/>
        <v>2387.8539999999998</v>
      </c>
    </row>
    <row r="509" spans="1:12" x14ac:dyDescent="0.3">
      <c r="A509" s="1">
        <v>2021</v>
      </c>
      <c r="B509" s="20">
        <f t="shared" si="22"/>
        <v>44439</v>
      </c>
      <c r="C509" s="1">
        <v>58</v>
      </c>
      <c r="D509" s="1" t="s">
        <v>25</v>
      </c>
      <c r="E509" s="2">
        <v>48.97</v>
      </c>
      <c r="F509" s="1" t="s">
        <v>32</v>
      </c>
      <c r="H509" s="21" t="str">
        <f t="shared" si="23"/>
        <v/>
      </c>
      <c r="I509" s="21"/>
      <c r="J509" s="3">
        <v>48.97</v>
      </c>
      <c r="K509" s="1">
        <v>62.82</v>
      </c>
      <c r="L509" s="4">
        <f t="shared" si="21"/>
        <v>3076.2954</v>
      </c>
    </row>
    <row r="510" spans="1:12" x14ac:dyDescent="0.3">
      <c r="A510" s="1">
        <v>2021</v>
      </c>
      <c r="B510" s="20">
        <f t="shared" si="22"/>
        <v>44439</v>
      </c>
      <c r="C510" s="1">
        <v>61</v>
      </c>
      <c r="D510" s="1" t="s">
        <v>2</v>
      </c>
      <c r="E510" s="2">
        <v>0.9</v>
      </c>
      <c r="F510" s="1" t="s">
        <v>35</v>
      </c>
      <c r="H510" s="21" t="str">
        <f t="shared" si="23"/>
        <v/>
      </c>
      <c r="I510" s="21"/>
      <c r="J510" s="3">
        <v>0.9</v>
      </c>
      <c r="K510" s="1">
        <v>104.39</v>
      </c>
      <c r="L510" s="4">
        <f t="shared" si="21"/>
        <v>93.951000000000008</v>
      </c>
    </row>
    <row r="511" spans="1:12" x14ac:dyDescent="0.3">
      <c r="A511" s="1">
        <v>2021</v>
      </c>
      <c r="B511" s="20">
        <f t="shared" si="22"/>
        <v>44439</v>
      </c>
      <c r="C511" s="1">
        <v>62</v>
      </c>
      <c r="D511" s="1" t="s">
        <v>3</v>
      </c>
      <c r="E511" s="2">
        <v>9.1300000000000008</v>
      </c>
      <c r="F511" s="1" t="s">
        <v>19</v>
      </c>
      <c r="H511" s="21" t="str">
        <f t="shared" si="23"/>
        <v/>
      </c>
      <c r="I511" s="21"/>
      <c r="J511" s="3">
        <v>9.1300000000000008</v>
      </c>
      <c r="K511" s="1">
        <v>104.4</v>
      </c>
      <c r="L511" s="4">
        <f t="shared" si="21"/>
        <v>953.17200000000014</v>
      </c>
    </row>
    <row r="512" spans="1:12" x14ac:dyDescent="0.3">
      <c r="A512" s="1">
        <v>2021</v>
      </c>
      <c r="B512" s="20">
        <f t="shared" si="22"/>
        <v>44439</v>
      </c>
      <c r="C512" s="1">
        <v>64</v>
      </c>
      <c r="D512" s="1" t="s">
        <v>2</v>
      </c>
      <c r="E512" s="2">
        <v>12.95</v>
      </c>
      <c r="F512" s="1" t="s">
        <v>21</v>
      </c>
      <c r="H512" s="21" t="str">
        <f t="shared" si="23"/>
        <v/>
      </c>
      <c r="I512" s="21"/>
      <c r="J512" s="3">
        <v>12.95</v>
      </c>
      <c r="K512" s="1">
        <v>70.290000000000006</v>
      </c>
      <c r="L512" s="4">
        <f t="shared" si="21"/>
        <v>910.25549999999998</v>
      </c>
    </row>
    <row r="513" spans="1:12" x14ac:dyDescent="0.3">
      <c r="A513" s="1">
        <v>2021</v>
      </c>
      <c r="B513" s="20">
        <f t="shared" si="22"/>
        <v>44439</v>
      </c>
      <c r="C513" s="1">
        <v>65</v>
      </c>
      <c r="D513" s="1" t="s">
        <v>2</v>
      </c>
      <c r="E513" s="2">
        <v>8.68</v>
      </c>
      <c r="F513" s="1" t="s">
        <v>21</v>
      </c>
      <c r="H513" s="21" t="str">
        <f t="shared" si="23"/>
        <v/>
      </c>
      <c r="I513" s="21"/>
      <c r="J513" s="3">
        <v>8.68</v>
      </c>
      <c r="K513" s="1">
        <v>67.47</v>
      </c>
      <c r="L513" s="4">
        <f t="shared" si="21"/>
        <v>585.63959999999997</v>
      </c>
    </row>
    <row r="514" spans="1:12" x14ac:dyDescent="0.3">
      <c r="A514" s="1">
        <v>2021</v>
      </c>
      <c r="B514" s="20">
        <f t="shared" si="22"/>
        <v>44439</v>
      </c>
      <c r="C514" s="1">
        <v>66</v>
      </c>
      <c r="D514" s="1" t="s">
        <v>2</v>
      </c>
      <c r="E514" s="2">
        <v>9.23</v>
      </c>
      <c r="F514" s="1" t="s">
        <v>29</v>
      </c>
      <c r="H514" s="21" t="str">
        <f t="shared" si="23"/>
        <v/>
      </c>
      <c r="I514" s="21"/>
      <c r="J514" s="3">
        <v>9.23</v>
      </c>
      <c r="K514" s="1">
        <v>52.02</v>
      </c>
      <c r="L514" s="4">
        <f t="shared" ref="L514:L577" si="24">J514*K514</f>
        <v>480.14460000000003</v>
      </c>
    </row>
    <row r="515" spans="1:12" x14ac:dyDescent="0.3">
      <c r="A515" s="1">
        <v>2021</v>
      </c>
      <c r="B515" s="20">
        <f t="shared" ref="B515:B578" si="25">IF(A515="","",DATE(A515,8,31))</f>
        <v>44439</v>
      </c>
      <c r="C515" s="1">
        <v>67</v>
      </c>
      <c r="D515" s="1" t="s">
        <v>2</v>
      </c>
      <c r="E515" s="2">
        <v>13.83</v>
      </c>
      <c r="F515" s="1" t="s">
        <v>29</v>
      </c>
      <c r="H515" s="21" t="str">
        <f t="shared" ref="H515:H578" si="26">IF(OR(G515="",B515=""),"",DATEDIF(G515,B515,"m"))</f>
        <v/>
      </c>
      <c r="I515" s="21"/>
      <c r="J515" s="3">
        <v>13.83</v>
      </c>
      <c r="K515" s="1">
        <v>27.39</v>
      </c>
      <c r="L515" s="4">
        <f t="shared" si="24"/>
        <v>378.80369999999999</v>
      </c>
    </row>
    <row r="516" spans="1:12" x14ac:dyDescent="0.3">
      <c r="A516" s="1">
        <v>2021</v>
      </c>
      <c r="B516" s="20">
        <f t="shared" si="25"/>
        <v>44439</v>
      </c>
      <c r="C516" s="1">
        <v>69</v>
      </c>
      <c r="D516" s="1" t="s">
        <v>2</v>
      </c>
      <c r="E516" s="2">
        <v>7.18</v>
      </c>
      <c r="F516" s="1" t="s">
        <v>29</v>
      </c>
      <c r="H516" s="21" t="str">
        <f t="shared" si="26"/>
        <v/>
      </c>
      <c r="I516" s="21"/>
      <c r="J516" s="3">
        <v>7.18</v>
      </c>
      <c r="K516" s="1">
        <v>65.959999999999994</v>
      </c>
      <c r="L516" s="4">
        <f t="shared" si="24"/>
        <v>473.59279999999995</v>
      </c>
    </row>
    <row r="517" spans="1:12" x14ac:dyDescent="0.3">
      <c r="A517" s="1">
        <v>2021</v>
      </c>
      <c r="B517" s="20">
        <f t="shared" si="25"/>
        <v>44439</v>
      </c>
      <c r="C517" s="1">
        <v>73</v>
      </c>
      <c r="D517" s="1" t="s">
        <v>2</v>
      </c>
      <c r="E517" s="2">
        <v>5.8</v>
      </c>
      <c r="F517" s="1" t="s">
        <v>35</v>
      </c>
      <c r="H517" s="21" t="str">
        <f t="shared" si="26"/>
        <v/>
      </c>
      <c r="I517" s="21"/>
      <c r="J517" s="3">
        <v>5.8</v>
      </c>
      <c r="K517" s="1">
        <v>66.069999999999993</v>
      </c>
      <c r="L517" s="4">
        <f t="shared" si="24"/>
        <v>383.20599999999996</v>
      </c>
    </row>
    <row r="518" spans="1:12" x14ac:dyDescent="0.3">
      <c r="A518" s="1">
        <v>2021</v>
      </c>
      <c r="B518" s="20">
        <f t="shared" si="25"/>
        <v>44439</v>
      </c>
      <c r="C518" s="1">
        <v>79</v>
      </c>
      <c r="D518" s="1" t="s">
        <v>2</v>
      </c>
      <c r="E518" s="2">
        <v>5.55</v>
      </c>
      <c r="F518" s="1" t="s">
        <v>21</v>
      </c>
      <c r="H518" s="21" t="str">
        <f t="shared" si="26"/>
        <v/>
      </c>
      <c r="I518" s="21"/>
      <c r="J518" s="3">
        <v>5.55</v>
      </c>
      <c r="K518" s="1">
        <v>40.29</v>
      </c>
      <c r="L518" s="4">
        <f t="shared" si="24"/>
        <v>223.6095</v>
      </c>
    </row>
    <row r="519" spans="1:12" x14ac:dyDescent="0.3">
      <c r="A519" s="1">
        <v>2021</v>
      </c>
      <c r="B519" s="20">
        <f t="shared" si="25"/>
        <v>44439</v>
      </c>
      <c r="C519" s="1">
        <v>81</v>
      </c>
      <c r="D519" s="1" t="s">
        <v>2</v>
      </c>
      <c r="E519" s="2">
        <v>5.89</v>
      </c>
      <c r="F519" s="1" t="s">
        <v>35</v>
      </c>
      <c r="H519" s="21" t="str">
        <f t="shared" si="26"/>
        <v/>
      </c>
      <c r="I519" s="21"/>
      <c r="J519" s="3">
        <v>5.89</v>
      </c>
      <c r="K519" s="1">
        <v>40.29</v>
      </c>
      <c r="L519" s="4">
        <f t="shared" si="24"/>
        <v>237.3081</v>
      </c>
    </row>
    <row r="520" spans="1:12" x14ac:dyDescent="0.3">
      <c r="A520" s="1">
        <v>2021</v>
      </c>
      <c r="B520" s="20">
        <f t="shared" si="25"/>
        <v>44439</v>
      </c>
      <c r="C520" s="1">
        <v>82</v>
      </c>
      <c r="D520" s="1" t="s">
        <v>2</v>
      </c>
      <c r="E520" s="2">
        <v>5.46</v>
      </c>
      <c r="F520" s="1" t="s">
        <v>35</v>
      </c>
      <c r="H520" s="21" t="str">
        <f t="shared" si="26"/>
        <v/>
      </c>
      <c r="I520" s="21"/>
      <c r="J520" s="3">
        <v>5.46</v>
      </c>
      <c r="K520" s="1">
        <v>40.25</v>
      </c>
      <c r="L520" s="4">
        <f t="shared" si="24"/>
        <v>219.76499999999999</v>
      </c>
    </row>
    <row r="521" spans="1:12" x14ac:dyDescent="0.3">
      <c r="A521" s="1">
        <v>2021</v>
      </c>
      <c r="B521" s="20">
        <f t="shared" si="25"/>
        <v>44439</v>
      </c>
      <c r="C521" s="1">
        <v>83</v>
      </c>
      <c r="D521" s="1" t="s">
        <v>2</v>
      </c>
      <c r="E521" s="2">
        <v>7.86</v>
      </c>
      <c r="F521" s="1" t="s">
        <v>30</v>
      </c>
      <c r="H521" s="21" t="str">
        <f t="shared" si="26"/>
        <v/>
      </c>
      <c r="I521" s="21"/>
      <c r="J521" s="3">
        <v>7.86</v>
      </c>
      <c r="K521" s="1">
        <v>47.48</v>
      </c>
      <c r="L521" s="4">
        <f t="shared" si="24"/>
        <v>373.19279999999998</v>
      </c>
    </row>
    <row r="522" spans="1:12" x14ac:dyDescent="0.3">
      <c r="A522" s="1">
        <v>2021</v>
      </c>
      <c r="B522" s="20">
        <f t="shared" si="25"/>
        <v>44439</v>
      </c>
      <c r="C522" s="1">
        <v>84</v>
      </c>
      <c r="D522" s="1" t="s">
        <v>2</v>
      </c>
      <c r="E522" s="2">
        <v>8.4600000000000009</v>
      </c>
      <c r="F522" s="1" t="s">
        <v>30</v>
      </c>
      <c r="H522" s="21" t="str">
        <f t="shared" si="26"/>
        <v/>
      </c>
      <c r="I522" s="21"/>
      <c r="J522" s="3">
        <v>8.4600000000000009</v>
      </c>
      <c r="K522" s="1">
        <v>47.48</v>
      </c>
      <c r="L522" s="4">
        <f t="shared" si="24"/>
        <v>401.68080000000003</v>
      </c>
    </row>
    <row r="523" spans="1:12" x14ac:dyDescent="0.3">
      <c r="A523" s="1">
        <v>2021</v>
      </c>
      <c r="B523" s="20">
        <f t="shared" si="25"/>
        <v>44439</v>
      </c>
      <c r="C523" s="1">
        <v>85</v>
      </c>
      <c r="D523" s="1" t="s">
        <v>2</v>
      </c>
      <c r="E523" s="2">
        <v>3.37</v>
      </c>
      <c r="F523" s="1" t="s">
        <v>30</v>
      </c>
      <c r="H523" s="21" t="str">
        <f t="shared" si="26"/>
        <v/>
      </c>
      <c r="I523" s="21"/>
      <c r="J523" s="3">
        <v>3.37</v>
      </c>
      <c r="K523" s="1">
        <v>47.62</v>
      </c>
      <c r="L523" s="4">
        <f t="shared" si="24"/>
        <v>160.4794</v>
      </c>
    </row>
    <row r="524" spans="1:12" x14ac:dyDescent="0.3">
      <c r="A524" s="1">
        <v>2021</v>
      </c>
      <c r="B524" s="20">
        <f t="shared" si="25"/>
        <v>44439</v>
      </c>
      <c r="C524" s="1">
        <v>86</v>
      </c>
      <c r="D524" s="1" t="s">
        <v>2</v>
      </c>
      <c r="E524" s="2">
        <v>2.65</v>
      </c>
      <c r="F524" s="1" t="s">
        <v>30</v>
      </c>
      <c r="H524" s="21" t="str">
        <f t="shared" si="26"/>
        <v/>
      </c>
      <c r="I524" s="21"/>
      <c r="J524" s="3">
        <v>2.65</v>
      </c>
      <c r="K524" s="1">
        <v>47.68</v>
      </c>
      <c r="L524" s="4">
        <f t="shared" si="24"/>
        <v>126.35199999999999</v>
      </c>
    </row>
    <row r="525" spans="1:12" x14ac:dyDescent="0.3">
      <c r="A525" s="1">
        <v>2021</v>
      </c>
      <c r="B525" s="20">
        <f t="shared" si="25"/>
        <v>44439</v>
      </c>
      <c r="C525" s="1">
        <v>87</v>
      </c>
      <c r="D525" s="1" t="s">
        <v>2</v>
      </c>
      <c r="E525" s="2">
        <v>20.41</v>
      </c>
      <c r="F525" s="1" t="s">
        <v>30</v>
      </c>
      <c r="H525" s="21" t="str">
        <f t="shared" si="26"/>
        <v/>
      </c>
      <c r="I525" s="21"/>
      <c r="J525" s="3">
        <v>20.41</v>
      </c>
      <c r="K525" s="1">
        <v>49.7</v>
      </c>
      <c r="L525" s="4">
        <f t="shared" si="24"/>
        <v>1014.3770000000001</v>
      </c>
    </row>
    <row r="526" spans="1:12" x14ac:dyDescent="0.3">
      <c r="A526" s="1">
        <v>2021</v>
      </c>
      <c r="B526" s="20">
        <f t="shared" si="25"/>
        <v>44439</v>
      </c>
      <c r="C526" s="1">
        <v>92</v>
      </c>
      <c r="D526" s="1" t="s">
        <v>25</v>
      </c>
      <c r="E526" s="2">
        <v>96.93</v>
      </c>
      <c r="F526" s="1" t="s">
        <v>31</v>
      </c>
      <c r="H526" s="21" t="str">
        <f t="shared" si="26"/>
        <v/>
      </c>
      <c r="I526" s="21"/>
      <c r="J526" s="3">
        <v>96.93</v>
      </c>
      <c r="K526" s="1">
        <v>84.2</v>
      </c>
      <c r="L526" s="4">
        <f t="shared" si="24"/>
        <v>8161.5060000000012</v>
      </c>
    </row>
    <row r="527" spans="1:12" x14ac:dyDescent="0.3">
      <c r="A527" s="1">
        <v>2021</v>
      </c>
      <c r="B527" s="20">
        <f t="shared" si="25"/>
        <v>44439</v>
      </c>
      <c r="C527" s="1">
        <v>93</v>
      </c>
      <c r="D527" s="1" t="s">
        <v>3</v>
      </c>
      <c r="E527" s="2">
        <v>27.53</v>
      </c>
      <c r="F527" s="1" t="s">
        <v>28</v>
      </c>
      <c r="H527" s="21" t="str">
        <f t="shared" si="26"/>
        <v/>
      </c>
      <c r="I527" s="21"/>
      <c r="J527" s="3">
        <v>27.53</v>
      </c>
      <c r="K527" s="1">
        <v>72.400000000000006</v>
      </c>
      <c r="L527" s="4">
        <f t="shared" si="24"/>
        <v>1993.1720000000003</v>
      </c>
    </row>
    <row r="528" spans="1:12" x14ac:dyDescent="0.3">
      <c r="A528" s="1">
        <v>2021</v>
      </c>
      <c r="B528" s="20">
        <f t="shared" si="25"/>
        <v>44439</v>
      </c>
      <c r="C528" s="1">
        <v>94</v>
      </c>
      <c r="D528" s="1" t="s">
        <v>3</v>
      </c>
      <c r="E528" s="2">
        <v>36.92</v>
      </c>
      <c r="F528" s="1" t="s">
        <v>28</v>
      </c>
      <c r="H528" s="21" t="str">
        <f t="shared" si="26"/>
        <v/>
      </c>
      <c r="I528" s="21"/>
      <c r="J528" s="3">
        <v>36.92</v>
      </c>
      <c r="K528" s="1">
        <v>104.05</v>
      </c>
      <c r="L528" s="4">
        <f t="shared" si="24"/>
        <v>3841.5260000000003</v>
      </c>
    </row>
    <row r="529" spans="1:12" x14ac:dyDescent="0.3">
      <c r="A529" s="1">
        <v>2021</v>
      </c>
      <c r="B529" s="20">
        <f t="shared" si="25"/>
        <v>44439</v>
      </c>
      <c r="C529" s="1">
        <v>95</v>
      </c>
      <c r="D529" s="1" t="s">
        <v>3</v>
      </c>
      <c r="E529" s="2">
        <v>36.9</v>
      </c>
      <c r="F529" s="1" t="s">
        <v>28</v>
      </c>
      <c r="H529" s="21" t="str">
        <f t="shared" si="26"/>
        <v/>
      </c>
      <c r="I529" s="21"/>
      <c r="J529" s="3">
        <v>36.9</v>
      </c>
      <c r="K529" s="1">
        <v>71.209999999999994</v>
      </c>
      <c r="L529" s="4">
        <f t="shared" si="24"/>
        <v>2627.6489999999999</v>
      </c>
    </row>
    <row r="530" spans="1:12" x14ac:dyDescent="0.3">
      <c r="A530" s="1">
        <v>2021</v>
      </c>
      <c r="B530" s="20">
        <f t="shared" si="25"/>
        <v>44439</v>
      </c>
      <c r="C530" s="1">
        <v>96</v>
      </c>
      <c r="D530" s="1" t="s">
        <v>2</v>
      </c>
      <c r="E530" s="2">
        <v>12.28</v>
      </c>
      <c r="F530" s="1" t="s">
        <v>19</v>
      </c>
      <c r="H530" s="21" t="str">
        <f t="shared" si="26"/>
        <v/>
      </c>
      <c r="I530" s="21"/>
      <c r="J530" s="3">
        <v>12.28</v>
      </c>
      <c r="K530" s="1">
        <v>64.510000000000005</v>
      </c>
      <c r="L530" s="4">
        <f t="shared" si="24"/>
        <v>792.18280000000004</v>
      </c>
    </row>
    <row r="531" spans="1:12" x14ac:dyDescent="0.3">
      <c r="A531" s="1">
        <v>2021</v>
      </c>
      <c r="B531" s="20">
        <f t="shared" si="25"/>
        <v>44439</v>
      </c>
      <c r="C531" s="1">
        <v>97</v>
      </c>
      <c r="D531" s="1" t="s">
        <v>3</v>
      </c>
      <c r="E531" s="2">
        <v>6.04</v>
      </c>
      <c r="F531" s="1" t="s">
        <v>19</v>
      </c>
      <c r="H531" s="21" t="str">
        <f t="shared" si="26"/>
        <v/>
      </c>
      <c r="I531" s="21"/>
      <c r="J531" s="3">
        <v>6.04</v>
      </c>
      <c r="K531" s="1">
        <v>81.400000000000006</v>
      </c>
      <c r="L531" s="4">
        <f t="shared" si="24"/>
        <v>491.65600000000006</v>
      </c>
    </row>
    <row r="532" spans="1:12" x14ac:dyDescent="0.3">
      <c r="A532" s="1">
        <v>2021</v>
      </c>
      <c r="B532" s="20">
        <f t="shared" si="25"/>
        <v>44439</v>
      </c>
      <c r="C532" s="1">
        <v>98</v>
      </c>
      <c r="D532" s="1" t="s">
        <v>3</v>
      </c>
      <c r="E532" s="2">
        <v>14.93</v>
      </c>
      <c r="F532" s="1" t="s">
        <v>19</v>
      </c>
      <c r="H532" s="21" t="str">
        <f t="shared" si="26"/>
        <v/>
      </c>
      <c r="I532" s="21"/>
      <c r="J532" s="3">
        <v>14.93</v>
      </c>
      <c r="K532" s="1">
        <v>82.07</v>
      </c>
      <c r="L532" s="4">
        <f t="shared" si="24"/>
        <v>1225.3050999999998</v>
      </c>
    </row>
    <row r="533" spans="1:12" x14ac:dyDescent="0.3">
      <c r="A533" s="1">
        <v>2021</v>
      </c>
      <c r="B533" s="20">
        <f t="shared" si="25"/>
        <v>44439</v>
      </c>
      <c r="C533" s="1">
        <v>99</v>
      </c>
      <c r="D533" s="1" t="s">
        <v>2</v>
      </c>
      <c r="E533" s="2">
        <v>31.11</v>
      </c>
      <c r="F533" s="1" t="s">
        <v>19</v>
      </c>
      <c r="H533" s="21" t="str">
        <f t="shared" si="26"/>
        <v/>
      </c>
      <c r="I533" s="21"/>
      <c r="J533" s="3">
        <v>31.11</v>
      </c>
      <c r="K533" s="1">
        <v>64.31</v>
      </c>
      <c r="L533" s="4">
        <f t="shared" si="24"/>
        <v>2000.6840999999999</v>
      </c>
    </row>
    <row r="534" spans="1:12" x14ac:dyDescent="0.3">
      <c r="A534" s="1">
        <v>2021</v>
      </c>
      <c r="B534" s="20">
        <f t="shared" si="25"/>
        <v>44439</v>
      </c>
      <c r="C534" s="1">
        <v>100</v>
      </c>
      <c r="D534" s="1" t="s">
        <v>3</v>
      </c>
      <c r="E534" s="2">
        <v>18.940000000000001</v>
      </c>
      <c r="F534" s="1" t="s">
        <v>20</v>
      </c>
      <c r="H534" s="21" t="str">
        <f t="shared" si="26"/>
        <v/>
      </c>
      <c r="I534" s="21"/>
      <c r="J534" s="3">
        <v>18.940000000000001</v>
      </c>
      <c r="K534" s="1">
        <v>66.8</v>
      </c>
      <c r="L534" s="4">
        <f t="shared" si="24"/>
        <v>1265.192</v>
      </c>
    </row>
    <row r="535" spans="1:12" x14ac:dyDescent="0.3">
      <c r="A535" s="1">
        <v>2021</v>
      </c>
      <c r="B535" s="20">
        <f t="shared" si="25"/>
        <v>44439</v>
      </c>
      <c r="C535" s="1">
        <v>101</v>
      </c>
      <c r="D535" s="1" t="s">
        <v>2</v>
      </c>
      <c r="E535" s="2">
        <v>24.85</v>
      </c>
      <c r="F535" s="1" t="s">
        <v>19</v>
      </c>
      <c r="H535" s="21" t="str">
        <f t="shared" si="26"/>
        <v/>
      </c>
      <c r="I535" s="21"/>
      <c r="J535" s="3">
        <v>24.85</v>
      </c>
      <c r="K535" s="1">
        <v>64.540000000000006</v>
      </c>
      <c r="L535" s="4">
        <f t="shared" si="24"/>
        <v>1603.8190000000002</v>
      </c>
    </row>
    <row r="536" spans="1:12" x14ac:dyDescent="0.3">
      <c r="A536" s="1">
        <v>2021</v>
      </c>
      <c r="B536" s="20">
        <f t="shared" si="25"/>
        <v>44439</v>
      </c>
      <c r="C536" s="1">
        <v>102</v>
      </c>
      <c r="D536" s="1" t="s">
        <v>3</v>
      </c>
      <c r="E536" s="2">
        <v>26.5</v>
      </c>
      <c r="F536" s="1" t="s">
        <v>20</v>
      </c>
      <c r="H536" s="21" t="str">
        <f t="shared" si="26"/>
        <v/>
      </c>
      <c r="I536" s="21"/>
      <c r="J536" s="3">
        <v>26.5</v>
      </c>
      <c r="K536" s="1">
        <v>66.81</v>
      </c>
      <c r="L536" s="4">
        <f t="shared" si="24"/>
        <v>1770.4650000000001</v>
      </c>
    </row>
    <row r="537" spans="1:12" x14ac:dyDescent="0.3">
      <c r="A537" s="1">
        <v>2021</v>
      </c>
      <c r="B537" s="20">
        <f t="shared" si="25"/>
        <v>44439</v>
      </c>
      <c r="C537" s="1">
        <v>103</v>
      </c>
      <c r="D537" s="1" t="s">
        <v>11</v>
      </c>
      <c r="E537" s="2">
        <v>12.04</v>
      </c>
      <c r="F537" s="1" t="s">
        <v>19</v>
      </c>
      <c r="H537" s="21" t="str">
        <f t="shared" si="26"/>
        <v/>
      </c>
      <c r="I537" s="21"/>
      <c r="J537" s="3">
        <v>12.04</v>
      </c>
      <c r="K537" s="1">
        <v>64.34</v>
      </c>
      <c r="L537" s="4">
        <f t="shared" si="24"/>
        <v>774.65359999999998</v>
      </c>
    </row>
    <row r="538" spans="1:12" x14ac:dyDescent="0.3">
      <c r="A538" s="1">
        <v>2021</v>
      </c>
      <c r="B538" s="20">
        <f t="shared" si="25"/>
        <v>44439</v>
      </c>
      <c r="C538" s="1">
        <v>104</v>
      </c>
      <c r="D538" s="1" t="s">
        <v>3</v>
      </c>
      <c r="E538" s="2">
        <v>19.32</v>
      </c>
      <c r="F538" s="1" t="s">
        <v>20</v>
      </c>
      <c r="H538" s="21" t="str">
        <f t="shared" si="26"/>
        <v/>
      </c>
      <c r="I538" s="21"/>
      <c r="J538" s="3">
        <v>19.32</v>
      </c>
      <c r="K538" s="1">
        <v>66.84</v>
      </c>
      <c r="L538" s="4">
        <f t="shared" si="24"/>
        <v>1291.3488</v>
      </c>
    </row>
    <row r="539" spans="1:12" x14ac:dyDescent="0.3">
      <c r="A539" s="1">
        <v>2021</v>
      </c>
      <c r="B539" s="20">
        <f t="shared" si="25"/>
        <v>44439</v>
      </c>
      <c r="C539" s="1">
        <v>106</v>
      </c>
      <c r="D539" s="1" t="s">
        <v>23</v>
      </c>
      <c r="E539" s="2">
        <v>5.5</v>
      </c>
      <c r="F539" s="1" t="s">
        <v>19</v>
      </c>
      <c r="H539" s="21" t="str">
        <f t="shared" si="26"/>
        <v/>
      </c>
      <c r="I539" s="21"/>
      <c r="J539" s="3">
        <v>5.5</v>
      </c>
      <c r="K539" s="1">
        <v>96</v>
      </c>
      <c r="L539" s="4">
        <f t="shared" si="24"/>
        <v>528</v>
      </c>
    </row>
    <row r="540" spans="1:12" x14ac:dyDescent="0.3">
      <c r="A540" s="1">
        <v>2022</v>
      </c>
      <c r="B540" s="20">
        <f t="shared" si="25"/>
        <v>44804</v>
      </c>
      <c r="C540" s="1">
        <v>1</v>
      </c>
      <c r="D540" s="1" t="s">
        <v>25</v>
      </c>
      <c r="E540" s="2">
        <v>16.64</v>
      </c>
      <c r="F540" s="1" t="s">
        <v>33</v>
      </c>
      <c r="H540" s="21" t="str">
        <f t="shared" si="26"/>
        <v/>
      </c>
      <c r="I540" s="21"/>
      <c r="J540" s="3">
        <v>16.64</v>
      </c>
      <c r="K540" s="1">
        <v>45</v>
      </c>
      <c r="L540" s="4">
        <f t="shared" si="24"/>
        <v>748.80000000000007</v>
      </c>
    </row>
    <row r="541" spans="1:12" x14ac:dyDescent="0.3">
      <c r="A541" s="1">
        <v>2022</v>
      </c>
      <c r="B541" s="20">
        <f t="shared" si="25"/>
        <v>44804</v>
      </c>
      <c r="C541" s="1">
        <v>2</v>
      </c>
      <c r="D541" s="1" t="s">
        <v>25</v>
      </c>
      <c r="E541" s="2">
        <v>22.24</v>
      </c>
      <c r="F541" s="1" t="s">
        <v>33</v>
      </c>
      <c r="H541" s="21" t="str">
        <f t="shared" si="26"/>
        <v/>
      </c>
      <c r="I541" s="21"/>
      <c r="J541" s="3">
        <v>22.24</v>
      </c>
      <c r="K541" s="1">
        <v>45</v>
      </c>
      <c r="L541" s="4">
        <f t="shared" si="24"/>
        <v>1000.8</v>
      </c>
    </row>
    <row r="542" spans="1:12" x14ac:dyDescent="0.3">
      <c r="A542" s="1">
        <v>2022</v>
      </c>
      <c r="B542" s="20">
        <f t="shared" si="25"/>
        <v>44804</v>
      </c>
      <c r="C542" s="1">
        <v>3</v>
      </c>
      <c r="D542" s="1" t="s">
        <v>3</v>
      </c>
      <c r="E542" s="2">
        <v>20.6</v>
      </c>
      <c r="F542" s="1" t="s">
        <v>28</v>
      </c>
      <c r="H542" s="21" t="str">
        <f t="shared" si="26"/>
        <v/>
      </c>
      <c r="I542" s="21"/>
      <c r="J542" s="3">
        <v>20.6</v>
      </c>
      <c r="K542" s="1">
        <v>95</v>
      </c>
      <c r="L542" s="4">
        <f t="shared" si="24"/>
        <v>1957.0000000000002</v>
      </c>
    </row>
    <row r="543" spans="1:12" x14ac:dyDescent="0.3">
      <c r="A543" s="1">
        <v>2022</v>
      </c>
      <c r="B543" s="20">
        <f t="shared" si="25"/>
        <v>44804</v>
      </c>
      <c r="C543" s="1">
        <v>5</v>
      </c>
      <c r="D543" s="1" t="s">
        <v>23</v>
      </c>
      <c r="E543" s="2">
        <v>44.43</v>
      </c>
      <c r="F543" s="1">
        <v>1.5</v>
      </c>
      <c r="G543" s="20">
        <v>44228</v>
      </c>
      <c r="H543" s="21">
        <f t="shared" si="26"/>
        <v>18</v>
      </c>
      <c r="I543" s="21"/>
      <c r="J543" s="3">
        <v>44.43</v>
      </c>
      <c r="K543" s="1">
        <v>130</v>
      </c>
      <c r="L543" s="4">
        <f t="shared" si="24"/>
        <v>5775.9</v>
      </c>
    </row>
    <row r="544" spans="1:12" x14ac:dyDescent="0.3">
      <c r="A544" s="1">
        <v>2022</v>
      </c>
      <c r="B544" s="20">
        <f t="shared" si="25"/>
        <v>44804</v>
      </c>
      <c r="C544" s="1">
        <v>8</v>
      </c>
      <c r="D544" s="1" t="s">
        <v>23</v>
      </c>
      <c r="E544" s="2">
        <v>11.01</v>
      </c>
      <c r="F544" s="1" t="s">
        <v>28</v>
      </c>
      <c r="H544" s="21" t="str">
        <f t="shared" si="26"/>
        <v/>
      </c>
      <c r="I544" s="21"/>
      <c r="J544" s="3">
        <v>11.01</v>
      </c>
      <c r="K544" s="1">
        <v>97</v>
      </c>
      <c r="L544" s="4">
        <f t="shared" si="24"/>
        <v>1067.97</v>
      </c>
    </row>
    <row r="545" spans="1:12" x14ac:dyDescent="0.3">
      <c r="A545" s="1">
        <v>2022</v>
      </c>
      <c r="B545" s="20">
        <f t="shared" si="25"/>
        <v>44804</v>
      </c>
      <c r="C545" s="1">
        <v>10</v>
      </c>
      <c r="D545" s="1" t="s">
        <v>3</v>
      </c>
      <c r="E545" s="2">
        <v>7.32</v>
      </c>
      <c r="F545" s="1">
        <v>1</v>
      </c>
      <c r="G545" s="20">
        <v>44562</v>
      </c>
      <c r="H545" s="21">
        <f t="shared" si="26"/>
        <v>7</v>
      </c>
      <c r="I545" s="21"/>
      <c r="J545" s="3">
        <v>7.32</v>
      </c>
      <c r="K545" s="1">
        <v>45</v>
      </c>
      <c r="L545" s="4">
        <f t="shared" si="24"/>
        <v>329.40000000000003</v>
      </c>
    </row>
    <row r="546" spans="1:12" x14ac:dyDescent="0.3">
      <c r="A546" s="1">
        <v>2022</v>
      </c>
      <c r="B546" s="20">
        <f t="shared" si="25"/>
        <v>44804</v>
      </c>
      <c r="C546" s="1">
        <v>12</v>
      </c>
      <c r="D546" s="1" t="s">
        <v>3</v>
      </c>
      <c r="E546" s="2">
        <v>4.34</v>
      </c>
      <c r="F546" s="1">
        <v>1</v>
      </c>
      <c r="G546" s="20">
        <v>44562</v>
      </c>
      <c r="H546" s="21">
        <f t="shared" si="26"/>
        <v>7</v>
      </c>
      <c r="I546" s="21"/>
      <c r="J546" s="3">
        <v>4.34</v>
      </c>
      <c r="K546" s="1">
        <v>45</v>
      </c>
      <c r="L546" s="4">
        <f t="shared" si="24"/>
        <v>195.29999999999998</v>
      </c>
    </row>
    <row r="547" spans="1:12" x14ac:dyDescent="0.3">
      <c r="A547" s="1">
        <v>2022</v>
      </c>
      <c r="B547" s="20">
        <f t="shared" si="25"/>
        <v>44804</v>
      </c>
      <c r="C547" s="1">
        <v>14</v>
      </c>
      <c r="D547" s="1" t="s">
        <v>3</v>
      </c>
      <c r="E547" s="2">
        <v>7.56</v>
      </c>
      <c r="F547" s="1">
        <v>1</v>
      </c>
      <c r="G547" s="20">
        <v>44562</v>
      </c>
      <c r="H547" s="21">
        <f t="shared" si="26"/>
        <v>7</v>
      </c>
      <c r="I547" s="21"/>
      <c r="J547" s="3">
        <v>7.56</v>
      </c>
      <c r="K547" s="1">
        <v>45</v>
      </c>
      <c r="L547" s="4">
        <f t="shared" si="24"/>
        <v>340.2</v>
      </c>
    </row>
    <row r="548" spans="1:12" x14ac:dyDescent="0.3">
      <c r="A548" s="1">
        <v>2022</v>
      </c>
      <c r="B548" s="20">
        <f t="shared" si="25"/>
        <v>44804</v>
      </c>
      <c r="C548" s="1">
        <v>15</v>
      </c>
      <c r="D548" s="1" t="s">
        <v>2</v>
      </c>
      <c r="E548" s="2">
        <v>11.45</v>
      </c>
      <c r="F548" s="1" t="s">
        <v>28</v>
      </c>
      <c r="H548" s="21" t="str">
        <f t="shared" si="26"/>
        <v/>
      </c>
      <c r="I548" s="21"/>
      <c r="J548" s="3">
        <v>11.45</v>
      </c>
      <c r="K548" s="1">
        <v>90</v>
      </c>
      <c r="L548" s="4">
        <f t="shared" si="24"/>
        <v>1030.5</v>
      </c>
    </row>
    <row r="549" spans="1:12" x14ac:dyDescent="0.3">
      <c r="A549" s="1">
        <v>2022</v>
      </c>
      <c r="B549" s="20">
        <f t="shared" si="25"/>
        <v>44804</v>
      </c>
      <c r="C549" s="1">
        <v>16</v>
      </c>
      <c r="D549" s="1" t="s">
        <v>3</v>
      </c>
      <c r="E549" s="2">
        <v>10.42</v>
      </c>
      <c r="F549" s="1">
        <v>1</v>
      </c>
      <c r="G549" s="20">
        <v>44562</v>
      </c>
      <c r="H549" s="21">
        <f t="shared" si="26"/>
        <v>7</v>
      </c>
      <c r="I549" s="21"/>
      <c r="J549" s="3">
        <v>10.42</v>
      </c>
      <c r="K549" s="1">
        <v>45</v>
      </c>
      <c r="L549" s="4">
        <f t="shared" si="24"/>
        <v>468.9</v>
      </c>
    </row>
    <row r="550" spans="1:12" x14ac:dyDescent="0.3">
      <c r="A550" s="1">
        <v>2022</v>
      </c>
      <c r="B550" s="20">
        <f t="shared" si="25"/>
        <v>44804</v>
      </c>
      <c r="C550" s="1">
        <v>17</v>
      </c>
      <c r="D550" s="1" t="s">
        <v>3</v>
      </c>
      <c r="E550" s="2">
        <v>9.6199999999999992</v>
      </c>
      <c r="F550" s="1">
        <v>1</v>
      </c>
      <c r="G550" s="20">
        <v>44562</v>
      </c>
      <c r="H550" s="21">
        <f t="shared" si="26"/>
        <v>7</v>
      </c>
      <c r="I550" s="21"/>
      <c r="J550" s="3">
        <v>9.6199999999999992</v>
      </c>
      <c r="K550" s="1">
        <v>45</v>
      </c>
      <c r="L550" s="4">
        <f t="shared" si="24"/>
        <v>432.9</v>
      </c>
    </row>
    <row r="551" spans="1:12" x14ac:dyDescent="0.3">
      <c r="A551" s="1">
        <v>2022</v>
      </c>
      <c r="B551" s="20">
        <f t="shared" si="25"/>
        <v>44804</v>
      </c>
      <c r="C551" s="1">
        <v>18</v>
      </c>
      <c r="D551" s="1" t="s">
        <v>25</v>
      </c>
      <c r="E551" s="2">
        <v>4.37</v>
      </c>
      <c r="F551" s="1" t="s">
        <v>33</v>
      </c>
      <c r="H551" s="21" t="str">
        <f t="shared" si="26"/>
        <v/>
      </c>
      <c r="I551" s="21"/>
      <c r="J551" s="3">
        <v>4.37</v>
      </c>
      <c r="K551" s="1">
        <v>45</v>
      </c>
      <c r="L551" s="4">
        <f t="shared" si="24"/>
        <v>196.65</v>
      </c>
    </row>
    <row r="552" spans="1:12" x14ac:dyDescent="0.3">
      <c r="A552" s="1">
        <v>2022</v>
      </c>
      <c r="B552" s="20">
        <f t="shared" si="25"/>
        <v>44804</v>
      </c>
      <c r="C552" s="1">
        <v>19</v>
      </c>
      <c r="D552" s="1" t="s">
        <v>25</v>
      </c>
      <c r="E552" s="2">
        <v>13.15</v>
      </c>
      <c r="F552" s="1" t="s">
        <v>33</v>
      </c>
      <c r="H552" s="21" t="str">
        <f t="shared" si="26"/>
        <v/>
      </c>
      <c r="I552" s="21"/>
      <c r="J552" s="3">
        <v>13.15</v>
      </c>
      <c r="K552" s="1">
        <v>43</v>
      </c>
      <c r="L552" s="4">
        <f t="shared" si="24"/>
        <v>565.45000000000005</v>
      </c>
    </row>
    <row r="553" spans="1:12" x14ac:dyDescent="0.3">
      <c r="A553" s="1">
        <v>2022</v>
      </c>
      <c r="B553" s="20">
        <f t="shared" si="25"/>
        <v>44804</v>
      </c>
      <c r="C553" s="1">
        <v>20</v>
      </c>
      <c r="D553" s="1" t="s">
        <v>3</v>
      </c>
      <c r="E553" s="2">
        <v>5.07</v>
      </c>
      <c r="F553" s="1">
        <v>1</v>
      </c>
      <c r="G553" s="20">
        <v>44562</v>
      </c>
      <c r="H553" s="21">
        <f t="shared" si="26"/>
        <v>7</v>
      </c>
      <c r="I553" s="24">
        <f>H553/12</f>
        <v>0.58333333333333337</v>
      </c>
      <c r="J553" s="3">
        <v>5.07</v>
      </c>
      <c r="K553" s="1">
        <v>46</v>
      </c>
      <c r="L553" s="4">
        <f t="shared" si="24"/>
        <v>233.22000000000003</v>
      </c>
    </row>
    <row r="554" spans="1:12" x14ac:dyDescent="0.3">
      <c r="A554" s="1">
        <v>2022</v>
      </c>
      <c r="B554" s="20">
        <f t="shared" si="25"/>
        <v>44804</v>
      </c>
      <c r="C554" s="1">
        <v>21</v>
      </c>
      <c r="D554" s="1" t="s">
        <v>3</v>
      </c>
      <c r="E554" s="2">
        <v>12.77</v>
      </c>
      <c r="F554" s="1">
        <v>1</v>
      </c>
      <c r="G554" s="20">
        <v>44562</v>
      </c>
      <c r="H554" s="21">
        <f t="shared" si="26"/>
        <v>7</v>
      </c>
      <c r="I554" s="24"/>
      <c r="J554" s="3">
        <v>12.77</v>
      </c>
      <c r="K554" s="1">
        <v>45</v>
      </c>
      <c r="L554" s="4">
        <f t="shared" si="24"/>
        <v>574.65</v>
      </c>
    </row>
    <row r="555" spans="1:12" x14ac:dyDescent="0.3">
      <c r="A555" s="1">
        <v>2022</v>
      </c>
      <c r="B555" s="20">
        <f t="shared" si="25"/>
        <v>44804</v>
      </c>
      <c r="C555" s="1">
        <v>22</v>
      </c>
      <c r="D555" s="1" t="s">
        <v>25</v>
      </c>
      <c r="E555" s="2">
        <v>19.98</v>
      </c>
      <c r="F555" s="1" t="s">
        <v>33</v>
      </c>
      <c r="H555" s="21" t="str">
        <f t="shared" si="26"/>
        <v/>
      </c>
      <c r="I555" s="24"/>
      <c r="J555" s="3">
        <v>19.98</v>
      </c>
      <c r="K555" s="1">
        <v>45</v>
      </c>
      <c r="L555" s="4">
        <f t="shared" si="24"/>
        <v>899.1</v>
      </c>
    </row>
    <row r="556" spans="1:12" x14ac:dyDescent="0.3">
      <c r="A556" s="1">
        <v>2022</v>
      </c>
      <c r="B556" s="20">
        <f t="shared" si="25"/>
        <v>44804</v>
      </c>
      <c r="C556" s="1">
        <v>23</v>
      </c>
      <c r="D556" s="1" t="s">
        <v>25</v>
      </c>
      <c r="E556" s="2">
        <v>8.5500000000000007</v>
      </c>
      <c r="F556" s="1">
        <v>1.5</v>
      </c>
      <c r="G556" s="20">
        <v>44256</v>
      </c>
      <c r="H556" s="21">
        <f t="shared" si="26"/>
        <v>17</v>
      </c>
      <c r="I556" s="24"/>
      <c r="J556" s="3">
        <v>8.5500000000000007</v>
      </c>
      <c r="K556" s="1">
        <v>110</v>
      </c>
      <c r="L556" s="4">
        <f t="shared" si="24"/>
        <v>940.50000000000011</v>
      </c>
    </row>
    <row r="557" spans="1:12" x14ac:dyDescent="0.3">
      <c r="A557" s="1">
        <v>2022</v>
      </c>
      <c r="B557" s="20">
        <f t="shared" si="25"/>
        <v>44804</v>
      </c>
      <c r="C557" s="1">
        <v>24</v>
      </c>
      <c r="D557" s="1" t="s">
        <v>2</v>
      </c>
      <c r="E557" s="2">
        <v>5.99</v>
      </c>
      <c r="F557" s="1" t="s">
        <v>31</v>
      </c>
      <c r="H557" s="21" t="str">
        <f t="shared" si="26"/>
        <v/>
      </c>
      <c r="I557" s="24"/>
      <c r="J557" s="3">
        <v>5.99</v>
      </c>
      <c r="K557" s="1">
        <v>48</v>
      </c>
      <c r="L557" s="4">
        <f t="shared" si="24"/>
        <v>287.52</v>
      </c>
    </row>
    <row r="558" spans="1:12" x14ac:dyDescent="0.3">
      <c r="A558" s="1">
        <v>2022</v>
      </c>
      <c r="B558" s="20">
        <f t="shared" si="25"/>
        <v>44804</v>
      </c>
      <c r="C558" s="1">
        <v>25</v>
      </c>
      <c r="D558" s="1" t="s">
        <v>2</v>
      </c>
      <c r="E558" s="2">
        <v>25.17</v>
      </c>
      <c r="F558" s="1" t="s">
        <v>31</v>
      </c>
      <c r="H558" s="21" t="str">
        <f t="shared" si="26"/>
        <v/>
      </c>
      <c r="I558" s="24"/>
      <c r="J558" s="3">
        <v>25.17</v>
      </c>
      <c r="K558" s="1">
        <v>48</v>
      </c>
      <c r="L558" s="4">
        <f t="shared" si="24"/>
        <v>1208.1600000000001</v>
      </c>
    </row>
    <row r="559" spans="1:12" x14ac:dyDescent="0.3">
      <c r="A559" s="1">
        <v>2022</v>
      </c>
      <c r="B559" s="20">
        <f t="shared" si="25"/>
        <v>44804</v>
      </c>
      <c r="C559" s="1">
        <v>26</v>
      </c>
      <c r="D559" s="1" t="s">
        <v>2</v>
      </c>
      <c r="E559" s="2">
        <v>18.170000000000002</v>
      </c>
      <c r="F559" s="1" t="s">
        <v>31</v>
      </c>
      <c r="H559" s="21" t="str">
        <f t="shared" si="26"/>
        <v/>
      </c>
      <c r="I559" s="24"/>
      <c r="J559" s="3">
        <v>18.170000000000002</v>
      </c>
      <c r="K559" s="1">
        <v>48</v>
      </c>
      <c r="L559" s="4">
        <f t="shared" si="24"/>
        <v>872.16000000000008</v>
      </c>
    </row>
    <row r="560" spans="1:12" x14ac:dyDescent="0.3">
      <c r="A560" s="1">
        <v>2022</v>
      </c>
      <c r="B560" s="20">
        <f t="shared" si="25"/>
        <v>44804</v>
      </c>
      <c r="C560" s="1">
        <v>27</v>
      </c>
      <c r="D560" s="1" t="s">
        <v>2</v>
      </c>
      <c r="E560" s="2">
        <v>25.9</v>
      </c>
      <c r="F560" s="1" t="s">
        <v>31</v>
      </c>
      <c r="H560" s="21" t="str">
        <f t="shared" si="26"/>
        <v/>
      </c>
      <c r="I560" s="24"/>
      <c r="J560" s="3">
        <v>25.9</v>
      </c>
      <c r="K560" s="1">
        <v>48</v>
      </c>
      <c r="L560" s="4">
        <f t="shared" si="24"/>
        <v>1243.1999999999998</v>
      </c>
    </row>
    <row r="561" spans="1:12" x14ac:dyDescent="0.3">
      <c r="A561" s="1">
        <v>2022</v>
      </c>
      <c r="B561" s="20">
        <f t="shared" si="25"/>
        <v>44804</v>
      </c>
      <c r="C561" s="1">
        <v>28</v>
      </c>
      <c r="D561" s="1" t="s">
        <v>2</v>
      </c>
      <c r="E561" s="2">
        <v>27.03</v>
      </c>
      <c r="F561" s="1" t="s">
        <v>31</v>
      </c>
      <c r="H561" s="21" t="str">
        <f t="shared" si="26"/>
        <v/>
      </c>
      <c r="I561" s="24"/>
      <c r="J561" s="3">
        <v>27.03</v>
      </c>
      <c r="K561" s="1">
        <v>48</v>
      </c>
      <c r="L561" s="4">
        <f t="shared" si="24"/>
        <v>1297.44</v>
      </c>
    </row>
    <row r="562" spans="1:12" x14ac:dyDescent="0.3">
      <c r="A562" s="1">
        <v>2022</v>
      </c>
      <c r="B562" s="20">
        <f t="shared" si="25"/>
        <v>44804</v>
      </c>
      <c r="C562" s="1">
        <v>29</v>
      </c>
      <c r="D562" s="1" t="s">
        <v>4</v>
      </c>
      <c r="E562" s="2">
        <v>39.67</v>
      </c>
      <c r="F562" s="1">
        <v>1.5</v>
      </c>
      <c r="G562" s="20">
        <v>44228</v>
      </c>
      <c r="H562" s="21">
        <f t="shared" si="26"/>
        <v>18</v>
      </c>
      <c r="I562" s="24"/>
      <c r="J562" s="3">
        <v>39.67</v>
      </c>
      <c r="K562" s="1">
        <v>130</v>
      </c>
      <c r="L562" s="4">
        <f t="shared" si="24"/>
        <v>5157.1000000000004</v>
      </c>
    </row>
    <row r="563" spans="1:12" x14ac:dyDescent="0.3">
      <c r="A563" s="1">
        <v>2022</v>
      </c>
      <c r="B563" s="20">
        <f t="shared" si="25"/>
        <v>44804</v>
      </c>
      <c r="C563" s="1">
        <v>30</v>
      </c>
      <c r="D563" s="1" t="s">
        <v>3</v>
      </c>
      <c r="E563" s="2">
        <v>33.89</v>
      </c>
      <c r="F563" s="1">
        <v>1.5</v>
      </c>
      <c r="G563" s="20">
        <v>44228</v>
      </c>
      <c r="H563" s="21">
        <f t="shared" si="26"/>
        <v>18</v>
      </c>
      <c r="I563" s="24"/>
      <c r="J563" s="3">
        <v>33.89</v>
      </c>
      <c r="K563" s="1">
        <v>130</v>
      </c>
      <c r="L563" s="4">
        <f t="shared" si="24"/>
        <v>4405.7</v>
      </c>
    </row>
    <row r="564" spans="1:12" x14ac:dyDescent="0.3">
      <c r="A564" s="1">
        <v>2022</v>
      </c>
      <c r="B564" s="20">
        <f t="shared" si="25"/>
        <v>44804</v>
      </c>
      <c r="C564" s="1">
        <v>31</v>
      </c>
      <c r="D564" s="1" t="s">
        <v>2</v>
      </c>
      <c r="E564" s="2">
        <v>16.309999999999999</v>
      </c>
      <c r="F564" s="1">
        <v>1.5</v>
      </c>
      <c r="G564" s="20">
        <v>44256</v>
      </c>
      <c r="H564" s="21">
        <f t="shared" si="26"/>
        <v>17</v>
      </c>
      <c r="I564" s="24"/>
      <c r="J564" s="3">
        <v>16.309999999999999</v>
      </c>
      <c r="K564" s="1">
        <v>125</v>
      </c>
      <c r="L564" s="4">
        <f t="shared" si="24"/>
        <v>2038.7499999999998</v>
      </c>
    </row>
    <row r="565" spans="1:12" x14ac:dyDescent="0.3">
      <c r="A565" s="1">
        <v>2022</v>
      </c>
      <c r="B565" s="20">
        <f t="shared" si="25"/>
        <v>44804</v>
      </c>
      <c r="C565" s="1">
        <v>32</v>
      </c>
      <c r="D565" s="1" t="s">
        <v>2</v>
      </c>
      <c r="E565" s="2">
        <v>12.26</v>
      </c>
      <c r="F565" s="1">
        <v>1.5</v>
      </c>
      <c r="G565" s="20">
        <v>44256</v>
      </c>
      <c r="H565" s="21">
        <f t="shared" si="26"/>
        <v>17</v>
      </c>
      <c r="I565" s="24"/>
      <c r="J565" s="3">
        <v>12.26</v>
      </c>
      <c r="K565" s="1">
        <v>125</v>
      </c>
      <c r="L565" s="4">
        <f t="shared" si="24"/>
        <v>1532.5</v>
      </c>
    </row>
    <row r="566" spans="1:12" x14ac:dyDescent="0.3">
      <c r="A566" s="1">
        <v>2022</v>
      </c>
      <c r="B566" s="20">
        <f t="shared" si="25"/>
        <v>44804</v>
      </c>
      <c r="C566" s="1">
        <v>33</v>
      </c>
      <c r="D566" s="1" t="s">
        <v>5</v>
      </c>
      <c r="E566" s="2">
        <v>9.34</v>
      </c>
      <c r="F566" s="1">
        <v>1</v>
      </c>
      <c r="G566" s="20">
        <v>44501</v>
      </c>
      <c r="H566" s="21">
        <f t="shared" si="26"/>
        <v>9</v>
      </c>
      <c r="I566" s="24"/>
      <c r="J566" s="3">
        <v>9.34</v>
      </c>
      <c r="K566" s="1">
        <v>0</v>
      </c>
      <c r="L566" s="4">
        <f t="shared" si="24"/>
        <v>0</v>
      </c>
    </row>
    <row r="567" spans="1:12" x14ac:dyDescent="0.3">
      <c r="A567" s="1">
        <v>2022</v>
      </c>
      <c r="B567" s="20">
        <f t="shared" si="25"/>
        <v>44804</v>
      </c>
      <c r="C567" s="1">
        <v>52</v>
      </c>
      <c r="D567" s="1" t="s">
        <v>2</v>
      </c>
      <c r="E567" s="2">
        <v>13.48</v>
      </c>
      <c r="F567" s="1" t="s">
        <v>28</v>
      </c>
      <c r="H567" s="21" t="str">
        <f t="shared" si="26"/>
        <v/>
      </c>
      <c r="I567" s="24"/>
      <c r="J567" s="3">
        <v>13.48</v>
      </c>
      <c r="K567" s="1">
        <v>70</v>
      </c>
      <c r="L567" s="4">
        <f t="shared" si="24"/>
        <v>943.6</v>
      </c>
    </row>
    <row r="568" spans="1:12" x14ac:dyDescent="0.3">
      <c r="A568" s="1">
        <v>2022</v>
      </c>
      <c r="B568" s="20">
        <f t="shared" si="25"/>
        <v>44804</v>
      </c>
      <c r="C568" s="1">
        <v>53</v>
      </c>
      <c r="D568" s="1" t="s">
        <v>2</v>
      </c>
      <c r="E568" s="2">
        <v>21.75</v>
      </c>
      <c r="F568" s="1" t="s">
        <v>28</v>
      </c>
      <c r="H568" s="21" t="str">
        <f t="shared" si="26"/>
        <v/>
      </c>
      <c r="I568" s="24"/>
      <c r="J568" s="3">
        <v>21.75</v>
      </c>
      <c r="K568" s="1">
        <v>70</v>
      </c>
      <c r="L568" s="4">
        <f t="shared" si="24"/>
        <v>1522.5</v>
      </c>
    </row>
    <row r="569" spans="1:12" x14ac:dyDescent="0.3">
      <c r="A569" s="1">
        <v>2022</v>
      </c>
      <c r="B569" s="20">
        <f t="shared" si="25"/>
        <v>44804</v>
      </c>
      <c r="C569" s="1">
        <v>54</v>
      </c>
      <c r="D569" s="1" t="s">
        <v>3</v>
      </c>
      <c r="E569" s="2">
        <v>14.41</v>
      </c>
      <c r="F569" s="1" t="s">
        <v>28</v>
      </c>
      <c r="H569" s="21" t="str">
        <f t="shared" si="26"/>
        <v/>
      </c>
      <c r="I569" s="24"/>
      <c r="J569" s="3">
        <v>14.41</v>
      </c>
      <c r="K569" s="1">
        <v>70</v>
      </c>
      <c r="L569" s="4">
        <f t="shared" si="24"/>
        <v>1008.7</v>
      </c>
    </row>
    <row r="570" spans="1:12" x14ac:dyDescent="0.3">
      <c r="A570" s="1">
        <v>2022</v>
      </c>
      <c r="B570" s="20">
        <f t="shared" si="25"/>
        <v>44804</v>
      </c>
      <c r="C570" s="1">
        <v>55</v>
      </c>
      <c r="D570" s="1" t="s">
        <v>3</v>
      </c>
      <c r="E570" s="2">
        <v>21.59</v>
      </c>
      <c r="F570" s="1" t="s">
        <v>28</v>
      </c>
      <c r="H570" s="21" t="str">
        <f t="shared" si="26"/>
        <v/>
      </c>
      <c r="I570" s="24"/>
      <c r="J570" s="3">
        <v>21.59</v>
      </c>
      <c r="K570" s="1">
        <v>70</v>
      </c>
      <c r="L570" s="4">
        <f t="shared" si="24"/>
        <v>1511.3</v>
      </c>
    </row>
    <row r="571" spans="1:12" x14ac:dyDescent="0.3">
      <c r="A571" s="1">
        <v>2022</v>
      </c>
      <c r="B571" s="20">
        <f t="shared" si="25"/>
        <v>44804</v>
      </c>
      <c r="C571" s="1">
        <v>58</v>
      </c>
      <c r="D571" s="1" t="s">
        <v>25</v>
      </c>
      <c r="E571" s="2">
        <v>48.97</v>
      </c>
      <c r="F571" s="1" t="s">
        <v>33</v>
      </c>
      <c r="H571" s="21" t="str">
        <f t="shared" si="26"/>
        <v/>
      </c>
      <c r="I571" s="24"/>
      <c r="J571" s="3">
        <v>48.97</v>
      </c>
      <c r="K571" s="1">
        <v>45</v>
      </c>
      <c r="L571" s="4">
        <f t="shared" si="24"/>
        <v>2203.65</v>
      </c>
    </row>
    <row r="572" spans="1:12" x14ac:dyDescent="0.3">
      <c r="A572" s="1">
        <v>2022</v>
      </c>
      <c r="B572" s="20">
        <f t="shared" si="25"/>
        <v>44804</v>
      </c>
      <c r="C572" s="1">
        <v>61</v>
      </c>
      <c r="D572" s="1" t="s">
        <v>3</v>
      </c>
      <c r="E572" s="2">
        <v>0.9</v>
      </c>
      <c r="F572" s="1" t="s">
        <v>28</v>
      </c>
      <c r="H572" s="21" t="str">
        <f t="shared" si="26"/>
        <v/>
      </c>
      <c r="I572" s="24"/>
      <c r="J572" s="3">
        <v>0.9</v>
      </c>
      <c r="K572" s="1">
        <v>95</v>
      </c>
      <c r="L572" s="4">
        <f t="shared" si="24"/>
        <v>85.5</v>
      </c>
    </row>
    <row r="573" spans="1:12" x14ac:dyDescent="0.3">
      <c r="A573" s="1">
        <v>2022</v>
      </c>
      <c r="B573" s="20">
        <f t="shared" si="25"/>
        <v>44804</v>
      </c>
      <c r="C573" s="1">
        <v>62</v>
      </c>
      <c r="D573" s="1" t="s">
        <v>3</v>
      </c>
      <c r="E573" s="2">
        <v>9.1300000000000008</v>
      </c>
      <c r="F573" s="1" t="s">
        <v>28</v>
      </c>
      <c r="H573" s="21" t="str">
        <f t="shared" si="26"/>
        <v/>
      </c>
      <c r="I573" s="24"/>
      <c r="J573" s="3">
        <v>9.1300000000000008</v>
      </c>
      <c r="K573" s="1">
        <v>95</v>
      </c>
      <c r="L573" s="4">
        <f t="shared" si="24"/>
        <v>867.35</v>
      </c>
    </row>
    <row r="574" spans="1:12" x14ac:dyDescent="0.3">
      <c r="A574" s="1">
        <v>2022</v>
      </c>
      <c r="B574" s="20">
        <f t="shared" si="25"/>
        <v>44804</v>
      </c>
      <c r="C574" s="1">
        <v>64</v>
      </c>
      <c r="D574" s="1" t="s">
        <v>4</v>
      </c>
      <c r="E574" s="2">
        <v>19.29</v>
      </c>
      <c r="F574" s="1">
        <v>1</v>
      </c>
      <c r="G574" s="20">
        <v>44501</v>
      </c>
      <c r="H574" s="21">
        <f t="shared" si="26"/>
        <v>9</v>
      </c>
      <c r="I574" s="24"/>
      <c r="J574" s="3">
        <v>19.29</v>
      </c>
      <c r="K574" s="1">
        <v>48</v>
      </c>
      <c r="L574" s="4">
        <f t="shared" si="24"/>
        <v>925.92</v>
      </c>
    </row>
    <row r="575" spans="1:12" x14ac:dyDescent="0.3">
      <c r="A575" s="1">
        <v>2022</v>
      </c>
      <c r="B575" s="20">
        <f t="shared" si="25"/>
        <v>44804</v>
      </c>
      <c r="C575" s="1">
        <v>65</v>
      </c>
      <c r="D575" s="1" t="s">
        <v>4</v>
      </c>
      <c r="E575" s="2">
        <v>8.57</v>
      </c>
      <c r="F575" s="1">
        <v>1</v>
      </c>
      <c r="G575" s="20">
        <v>44501</v>
      </c>
      <c r="H575" s="21">
        <f t="shared" si="26"/>
        <v>9</v>
      </c>
      <c r="I575" s="24"/>
      <c r="J575" s="3">
        <v>8.57</v>
      </c>
      <c r="K575" s="1">
        <v>48</v>
      </c>
      <c r="L575" s="4">
        <f t="shared" si="24"/>
        <v>411.36</v>
      </c>
    </row>
    <row r="576" spans="1:12" x14ac:dyDescent="0.3">
      <c r="A576" s="1">
        <v>2022</v>
      </c>
      <c r="B576" s="20">
        <f t="shared" si="25"/>
        <v>44804</v>
      </c>
      <c r="C576" s="1">
        <v>66</v>
      </c>
      <c r="D576" s="1" t="s">
        <v>4</v>
      </c>
      <c r="E576" s="2">
        <v>10.02</v>
      </c>
      <c r="F576" s="1">
        <v>1</v>
      </c>
      <c r="G576" s="20">
        <v>44501</v>
      </c>
      <c r="H576" s="21">
        <f t="shared" si="26"/>
        <v>9</v>
      </c>
      <c r="I576" s="24"/>
      <c r="J576" s="3">
        <v>10.02</v>
      </c>
      <c r="K576" s="1">
        <v>48</v>
      </c>
      <c r="L576" s="4">
        <f t="shared" si="24"/>
        <v>480.96</v>
      </c>
    </row>
    <row r="577" spans="1:12" x14ac:dyDescent="0.3">
      <c r="A577" s="1">
        <v>2022</v>
      </c>
      <c r="B577" s="20">
        <f t="shared" si="25"/>
        <v>44804</v>
      </c>
      <c r="C577" s="1">
        <v>67</v>
      </c>
      <c r="D577" s="1" t="s">
        <v>4</v>
      </c>
      <c r="E577" s="2">
        <v>13.96</v>
      </c>
      <c r="F577" s="1">
        <v>1</v>
      </c>
      <c r="G577" s="20">
        <v>44501</v>
      </c>
      <c r="H577" s="21">
        <f t="shared" si="26"/>
        <v>9</v>
      </c>
      <c r="I577" s="24"/>
      <c r="J577" s="3">
        <v>13.96</v>
      </c>
      <c r="K577" s="1">
        <v>48</v>
      </c>
      <c r="L577" s="4">
        <f t="shared" si="24"/>
        <v>670.08</v>
      </c>
    </row>
    <row r="578" spans="1:12" x14ac:dyDescent="0.3">
      <c r="A578" s="1">
        <v>2022</v>
      </c>
      <c r="B578" s="20">
        <f t="shared" si="25"/>
        <v>44804</v>
      </c>
      <c r="C578" s="1">
        <v>69</v>
      </c>
      <c r="D578" s="1" t="s">
        <v>4</v>
      </c>
      <c r="E578" s="2">
        <v>7.47</v>
      </c>
      <c r="F578" s="1">
        <v>1</v>
      </c>
      <c r="G578" s="20">
        <v>44501</v>
      </c>
      <c r="H578" s="21">
        <f t="shared" si="26"/>
        <v>9</v>
      </c>
      <c r="I578" s="24"/>
      <c r="J578" s="3">
        <v>7.47</v>
      </c>
      <c r="K578" s="1">
        <v>48</v>
      </c>
      <c r="L578" s="4">
        <f t="shared" ref="L578:L641" si="27">J578*K578</f>
        <v>358.56</v>
      </c>
    </row>
    <row r="579" spans="1:12" x14ac:dyDescent="0.3">
      <c r="A579" s="1">
        <v>2022</v>
      </c>
      <c r="B579" s="20">
        <f t="shared" ref="B579:B642" si="28">IF(A579="","",DATE(A579,8,31))</f>
        <v>44804</v>
      </c>
      <c r="C579" s="1">
        <v>79</v>
      </c>
      <c r="D579" s="1" t="s">
        <v>3</v>
      </c>
      <c r="E579" s="2">
        <v>24.95</v>
      </c>
      <c r="F579" s="1">
        <v>1</v>
      </c>
      <c r="G579" s="20">
        <v>44531</v>
      </c>
      <c r="H579" s="21">
        <f t="shared" ref="H579:H642" si="29">IF(OR(G579="",B579=""),"",DATEDIF(G579,B579,"m"))</f>
        <v>8</v>
      </c>
      <c r="I579" s="24"/>
      <c r="J579" s="3">
        <v>24.95</v>
      </c>
      <c r="K579" s="1">
        <v>45</v>
      </c>
      <c r="L579" s="4">
        <f t="shared" si="27"/>
        <v>1122.75</v>
      </c>
    </row>
    <row r="580" spans="1:12" x14ac:dyDescent="0.3">
      <c r="A580" s="1">
        <v>2022</v>
      </c>
      <c r="B580" s="20">
        <f t="shared" si="28"/>
        <v>44804</v>
      </c>
      <c r="C580" s="1">
        <v>83</v>
      </c>
      <c r="D580" s="1" t="s">
        <v>3</v>
      </c>
      <c r="E580" s="2">
        <v>8.25</v>
      </c>
      <c r="F580" s="1">
        <v>1</v>
      </c>
      <c r="G580" s="20">
        <v>44531</v>
      </c>
      <c r="H580" s="21">
        <f t="shared" si="29"/>
        <v>8</v>
      </c>
      <c r="I580" s="24"/>
      <c r="J580" s="3">
        <v>8.25</v>
      </c>
      <c r="K580" s="1">
        <v>45</v>
      </c>
      <c r="L580" s="4">
        <f t="shared" si="27"/>
        <v>371.25</v>
      </c>
    </row>
    <row r="581" spans="1:12" x14ac:dyDescent="0.3">
      <c r="A581" s="1">
        <v>2022</v>
      </c>
      <c r="B581" s="20">
        <f t="shared" si="28"/>
        <v>44804</v>
      </c>
      <c r="C581" s="1">
        <v>84</v>
      </c>
      <c r="D581" s="1" t="s">
        <v>3</v>
      </c>
      <c r="E581" s="2">
        <v>8.8699999999999992</v>
      </c>
      <c r="F581" s="1">
        <v>1</v>
      </c>
      <c r="G581" s="20">
        <v>44531</v>
      </c>
      <c r="H581" s="21">
        <f t="shared" si="29"/>
        <v>8</v>
      </c>
      <c r="I581" s="24"/>
      <c r="J581" s="3">
        <v>8.8699999999999992</v>
      </c>
      <c r="K581" s="1">
        <v>45</v>
      </c>
      <c r="L581" s="4">
        <f t="shared" si="27"/>
        <v>399.15</v>
      </c>
    </row>
    <row r="582" spans="1:12" x14ac:dyDescent="0.3">
      <c r="A582" s="1">
        <v>2022</v>
      </c>
      <c r="B582" s="20">
        <f t="shared" si="28"/>
        <v>44804</v>
      </c>
      <c r="C582" s="1">
        <v>85</v>
      </c>
      <c r="D582" s="1" t="s">
        <v>3</v>
      </c>
      <c r="E582" s="2">
        <v>3.64</v>
      </c>
      <c r="F582" s="1">
        <v>1</v>
      </c>
      <c r="G582" s="20">
        <v>44531</v>
      </c>
      <c r="H582" s="21">
        <f t="shared" si="29"/>
        <v>8</v>
      </c>
      <c r="I582" s="24"/>
      <c r="J582" s="3">
        <v>3.64</v>
      </c>
      <c r="K582" s="1">
        <v>39</v>
      </c>
      <c r="L582" s="4">
        <f t="shared" si="27"/>
        <v>141.96</v>
      </c>
    </row>
    <row r="583" spans="1:12" x14ac:dyDescent="0.3">
      <c r="A583" s="1">
        <v>2022</v>
      </c>
      <c r="B583" s="20">
        <f t="shared" si="28"/>
        <v>44804</v>
      </c>
      <c r="C583" s="1">
        <v>86</v>
      </c>
      <c r="D583" s="1" t="s">
        <v>3</v>
      </c>
      <c r="E583" s="2">
        <v>3.01</v>
      </c>
      <c r="F583" s="1">
        <v>1</v>
      </c>
      <c r="G583" s="20">
        <v>44531</v>
      </c>
      <c r="H583" s="21">
        <f t="shared" si="29"/>
        <v>8</v>
      </c>
      <c r="I583" s="24"/>
      <c r="J583" s="3">
        <v>3.01</v>
      </c>
      <c r="K583" s="1">
        <v>40</v>
      </c>
      <c r="L583" s="4">
        <f t="shared" si="27"/>
        <v>120.39999999999999</v>
      </c>
    </row>
    <row r="584" spans="1:12" x14ac:dyDescent="0.3">
      <c r="A584" s="1">
        <v>2022</v>
      </c>
      <c r="B584" s="20">
        <f t="shared" si="28"/>
        <v>44804</v>
      </c>
      <c r="C584" s="1">
        <v>87</v>
      </c>
      <c r="D584" s="1" t="s">
        <v>3</v>
      </c>
      <c r="E584" s="2">
        <v>20.69</v>
      </c>
      <c r="F584" s="1">
        <v>1</v>
      </c>
      <c r="G584" s="20">
        <v>44531</v>
      </c>
      <c r="H584" s="21">
        <f t="shared" si="29"/>
        <v>8</v>
      </c>
      <c r="I584" s="24"/>
      <c r="J584" s="3">
        <v>20.69</v>
      </c>
      <c r="K584" s="1">
        <v>45</v>
      </c>
      <c r="L584" s="4">
        <f t="shared" si="27"/>
        <v>931.05000000000007</v>
      </c>
    </row>
    <row r="585" spans="1:12" x14ac:dyDescent="0.3">
      <c r="A585" s="1">
        <v>2022</v>
      </c>
      <c r="B585" s="20">
        <f t="shared" si="28"/>
        <v>44804</v>
      </c>
      <c r="C585" s="1">
        <v>92</v>
      </c>
      <c r="D585" s="1" t="s">
        <v>25</v>
      </c>
      <c r="E585" s="2">
        <v>40</v>
      </c>
      <c r="F585" s="1" t="s">
        <v>32</v>
      </c>
      <c r="H585" s="21" t="str">
        <f t="shared" si="29"/>
        <v/>
      </c>
      <c r="I585" s="24"/>
      <c r="J585" s="3">
        <v>40</v>
      </c>
      <c r="K585" s="1">
        <v>45</v>
      </c>
      <c r="L585" s="4">
        <f t="shared" si="27"/>
        <v>1800</v>
      </c>
    </row>
    <row r="586" spans="1:12" x14ac:dyDescent="0.3">
      <c r="A586" s="1">
        <v>2022</v>
      </c>
      <c r="B586" s="20">
        <f t="shared" si="28"/>
        <v>44804</v>
      </c>
      <c r="C586" s="1">
        <v>93</v>
      </c>
      <c r="D586" s="1" t="s">
        <v>3</v>
      </c>
      <c r="E586" s="2">
        <v>27.53</v>
      </c>
      <c r="F586" s="1" t="s">
        <v>31</v>
      </c>
      <c r="H586" s="21" t="str">
        <f t="shared" si="29"/>
        <v/>
      </c>
      <c r="I586" s="24"/>
      <c r="J586" s="3">
        <v>27.53</v>
      </c>
      <c r="K586" s="1">
        <v>83</v>
      </c>
      <c r="L586" s="4">
        <f t="shared" si="27"/>
        <v>2284.9900000000002</v>
      </c>
    </row>
    <row r="587" spans="1:12" x14ac:dyDescent="0.3">
      <c r="A587" s="1">
        <v>2022</v>
      </c>
      <c r="B587" s="20">
        <f t="shared" si="28"/>
        <v>44804</v>
      </c>
      <c r="C587" s="1">
        <v>94</v>
      </c>
      <c r="D587" s="1" t="s">
        <v>3</v>
      </c>
      <c r="E587" s="2">
        <v>36.92</v>
      </c>
      <c r="F587" s="1" t="s">
        <v>31</v>
      </c>
      <c r="H587" s="21" t="str">
        <f t="shared" si="29"/>
        <v/>
      </c>
      <c r="I587" s="24"/>
      <c r="J587" s="3">
        <v>36.92</v>
      </c>
      <c r="K587" s="1">
        <v>83</v>
      </c>
      <c r="L587" s="4">
        <f t="shared" si="27"/>
        <v>3064.36</v>
      </c>
    </row>
    <row r="588" spans="1:12" x14ac:dyDescent="0.3">
      <c r="A588" s="1">
        <v>2022</v>
      </c>
      <c r="B588" s="20">
        <f t="shared" si="28"/>
        <v>44804</v>
      </c>
      <c r="C588" s="1">
        <v>95</v>
      </c>
      <c r="D588" s="1" t="s">
        <v>3</v>
      </c>
      <c r="E588" s="2">
        <v>36.9</v>
      </c>
      <c r="F588" s="1" t="s">
        <v>31</v>
      </c>
      <c r="H588" s="21" t="str">
        <f t="shared" si="29"/>
        <v/>
      </c>
      <c r="I588" s="24"/>
      <c r="J588" s="3">
        <v>36.9</v>
      </c>
      <c r="K588" s="1">
        <v>83</v>
      </c>
      <c r="L588" s="4">
        <f t="shared" si="27"/>
        <v>3062.7</v>
      </c>
    </row>
    <row r="589" spans="1:12" x14ac:dyDescent="0.3">
      <c r="A589" s="1">
        <v>2022</v>
      </c>
      <c r="B589" s="20">
        <f t="shared" si="28"/>
        <v>44804</v>
      </c>
      <c r="C589" s="1">
        <v>96</v>
      </c>
      <c r="D589" s="1" t="s">
        <v>2</v>
      </c>
      <c r="E589" s="2">
        <v>12.28</v>
      </c>
      <c r="F589" s="1" t="s">
        <v>28</v>
      </c>
      <c r="H589" s="21" t="str">
        <f t="shared" si="29"/>
        <v/>
      </c>
      <c r="I589" s="24"/>
      <c r="J589" s="3">
        <v>12.28</v>
      </c>
      <c r="K589" s="1">
        <v>78</v>
      </c>
      <c r="L589" s="4">
        <f t="shared" si="27"/>
        <v>957.83999999999992</v>
      </c>
    </row>
    <row r="590" spans="1:12" x14ac:dyDescent="0.3">
      <c r="A590" s="1">
        <v>2022</v>
      </c>
      <c r="B590" s="20">
        <f t="shared" si="28"/>
        <v>44804</v>
      </c>
      <c r="C590" s="1">
        <v>97</v>
      </c>
      <c r="D590" s="1" t="s">
        <v>3</v>
      </c>
      <c r="E590" s="2">
        <v>6.04</v>
      </c>
      <c r="F590" s="1" t="s">
        <v>28</v>
      </c>
      <c r="H590" s="21" t="str">
        <f t="shared" si="29"/>
        <v/>
      </c>
      <c r="I590" s="24"/>
      <c r="J590" s="3">
        <v>6.04</v>
      </c>
      <c r="K590" s="1">
        <v>99</v>
      </c>
      <c r="L590" s="4">
        <f t="shared" si="27"/>
        <v>597.96</v>
      </c>
    </row>
    <row r="591" spans="1:12" x14ac:dyDescent="0.3">
      <c r="A591" s="1">
        <v>2022</v>
      </c>
      <c r="B591" s="20">
        <f t="shared" si="28"/>
        <v>44804</v>
      </c>
      <c r="C591" s="1">
        <v>98</v>
      </c>
      <c r="D591" s="1" t="s">
        <v>3</v>
      </c>
      <c r="E591" s="2">
        <v>14.93</v>
      </c>
      <c r="F591" s="1" t="s">
        <v>28</v>
      </c>
      <c r="H591" s="21" t="str">
        <f t="shared" si="29"/>
        <v/>
      </c>
      <c r="I591" s="24"/>
      <c r="J591" s="3">
        <v>14.93</v>
      </c>
      <c r="K591" s="1">
        <v>78</v>
      </c>
      <c r="L591" s="4">
        <f t="shared" si="27"/>
        <v>1164.54</v>
      </c>
    </row>
    <row r="592" spans="1:12" x14ac:dyDescent="0.3">
      <c r="A592" s="1">
        <v>2022</v>
      </c>
      <c r="B592" s="20">
        <f t="shared" si="28"/>
        <v>44804</v>
      </c>
      <c r="C592" s="1">
        <v>99</v>
      </c>
      <c r="D592" s="1" t="s">
        <v>2</v>
      </c>
      <c r="E592" s="2">
        <v>31.11</v>
      </c>
      <c r="F592" s="1" t="s">
        <v>28</v>
      </c>
      <c r="H592" s="21" t="str">
        <f t="shared" si="29"/>
        <v/>
      </c>
      <c r="I592" s="24"/>
      <c r="J592" s="3">
        <v>31.11</v>
      </c>
      <c r="K592" s="1">
        <v>78</v>
      </c>
      <c r="L592" s="4">
        <f t="shared" si="27"/>
        <v>2426.58</v>
      </c>
    </row>
    <row r="593" spans="1:12" x14ac:dyDescent="0.3">
      <c r="A593" s="1">
        <v>2022</v>
      </c>
      <c r="B593" s="20">
        <f t="shared" si="28"/>
        <v>44804</v>
      </c>
      <c r="C593" s="1">
        <v>100</v>
      </c>
      <c r="D593" s="1" t="s">
        <v>2</v>
      </c>
      <c r="E593" s="2">
        <v>18.940000000000001</v>
      </c>
      <c r="F593" s="1" t="s">
        <v>28</v>
      </c>
      <c r="H593" s="21" t="str">
        <f t="shared" si="29"/>
        <v/>
      </c>
      <c r="I593" s="24"/>
      <c r="J593" s="3">
        <v>18.940000000000001</v>
      </c>
      <c r="K593" s="1">
        <v>78</v>
      </c>
      <c r="L593" s="4">
        <f t="shared" si="27"/>
        <v>1477.3200000000002</v>
      </c>
    </row>
    <row r="594" spans="1:12" x14ac:dyDescent="0.3">
      <c r="A594" s="1">
        <v>2022</v>
      </c>
      <c r="B594" s="20">
        <f t="shared" si="28"/>
        <v>44804</v>
      </c>
      <c r="C594" s="1">
        <v>101</v>
      </c>
      <c r="D594" s="1" t="s">
        <v>2</v>
      </c>
      <c r="E594" s="2">
        <v>24.85</v>
      </c>
      <c r="F594" s="1" t="s">
        <v>28</v>
      </c>
      <c r="H594" s="21" t="str">
        <f t="shared" si="29"/>
        <v/>
      </c>
      <c r="I594" s="24"/>
      <c r="J594" s="3">
        <v>24.85</v>
      </c>
      <c r="K594" s="1">
        <v>78</v>
      </c>
      <c r="L594" s="4">
        <f t="shared" si="27"/>
        <v>1938.3000000000002</v>
      </c>
    </row>
    <row r="595" spans="1:12" x14ac:dyDescent="0.3">
      <c r="A595" s="1">
        <v>2022</v>
      </c>
      <c r="B595" s="20">
        <f t="shared" si="28"/>
        <v>44804</v>
      </c>
      <c r="C595" s="1">
        <v>102</v>
      </c>
      <c r="D595" s="1" t="s">
        <v>3</v>
      </c>
      <c r="E595" s="2">
        <v>26.5</v>
      </c>
      <c r="F595" s="1" t="s">
        <v>28</v>
      </c>
      <c r="H595" s="21" t="str">
        <f t="shared" si="29"/>
        <v/>
      </c>
      <c r="I595" s="24"/>
      <c r="J595" s="3">
        <v>26.5</v>
      </c>
      <c r="K595" s="1">
        <v>78</v>
      </c>
      <c r="L595" s="4">
        <f t="shared" si="27"/>
        <v>2067</v>
      </c>
    </row>
    <row r="596" spans="1:12" x14ac:dyDescent="0.3">
      <c r="A596" s="1">
        <v>2022</v>
      </c>
      <c r="B596" s="20">
        <f t="shared" si="28"/>
        <v>44804</v>
      </c>
      <c r="C596" s="1">
        <v>103</v>
      </c>
      <c r="D596" s="1" t="s">
        <v>2</v>
      </c>
      <c r="E596" s="2">
        <v>12.04</v>
      </c>
      <c r="F596" s="1" t="s">
        <v>28</v>
      </c>
      <c r="H596" s="21" t="str">
        <f t="shared" si="29"/>
        <v/>
      </c>
      <c r="I596" s="24"/>
      <c r="J596" s="3">
        <v>12.04</v>
      </c>
      <c r="K596" s="1">
        <v>78</v>
      </c>
      <c r="L596" s="4">
        <f t="shared" si="27"/>
        <v>939.11999999999989</v>
      </c>
    </row>
    <row r="597" spans="1:12" x14ac:dyDescent="0.3">
      <c r="A597" s="1">
        <v>2022</v>
      </c>
      <c r="B597" s="20">
        <f t="shared" si="28"/>
        <v>44804</v>
      </c>
      <c r="C597" s="1">
        <v>104</v>
      </c>
      <c r="D597" s="1" t="s">
        <v>3</v>
      </c>
      <c r="E597" s="2">
        <v>19.32</v>
      </c>
      <c r="F597" s="1" t="s">
        <v>28</v>
      </c>
      <c r="H597" s="21" t="str">
        <f t="shared" si="29"/>
        <v/>
      </c>
      <c r="I597" s="24"/>
      <c r="J597" s="3">
        <v>19.32</v>
      </c>
      <c r="K597" s="1">
        <v>78</v>
      </c>
      <c r="L597" s="4">
        <f t="shared" si="27"/>
        <v>1506.96</v>
      </c>
    </row>
    <row r="598" spans="1:12" x14ac:dyDescent="0.3">
      <c r="A598" s="1">
        <v>2022</v>
      </c>
      <c r="B598" s="20">
        <f t="shared" si="28"/>
        <v>44804</v>
      </c>
      <c r="C598" s="1">
        <v>105</v>
      </c>
      <c r="D598" s="1" t="s">
        <v>3</v>
      </c>
      <c r="E598" s="2">
        <v>38.369999999999997</v>
      </c>
      <c r="F598" s="1">
        <v>1.5</v>
      </c>
      <c r="G598" s="20">
        <v>44256</v>
      </c>
      <c r="H598" s="21">
        <f t="shared" si="29"/>
        <v>17</v>
      </c>
      <c r="I598" s="24"/>
      <c r="J598" s="3">
        <v>38.369999999999997</v>
      </c>
      <c r="K598" s="1">
        <v>85</v>
      </c>
      <c r="L598" s="4">
        <f t="shared" si="27"/>
        <v>3261.45</v>
      </c>
    </row>
    <row r="599" spans="1:12" x14ac:dyDescent="0.3">
      <c r="A599" s="1">
        <v>2022</v>
      </c>
      <c r="B599" s="20">
        <f t="shared" si="28"/>
        <v>44804</v>
      </c>
      <c r="C599" s="1">
        <v>106</v>
      </c>
      <c r="D599" s="1" t="s">
        <v>4</v>
      </c>
      <c r="E599" s="2">
        <v>11.54</v>
      </c>
      <c r="F599" s="1" t="s">
        <v>28</v>
      </c>
      <c r="H599" s="21" t="str">
        <f t="shared" si="29"/>
        <v/>
      </c>
      <c r="I599" s="24"/>
      <c r="J599" s="3">
        <v>11.54</v>
      </c>
      <c r="K599" s="1">
        <v>87</v>
      </c>
      <c r="L599" s="4">
        <f t="shared" si="27"/>
        <v>1003.9799999999999</v>
      </c>
    </row>
    <row r="600" spans="1:12" x14ac:dyDescent="0.3">
      <c r="A600" s="1">
        <v>2022</v>
      </c>
      <c r="B600" s="20">
        <f t="shared" si="28"/>
        <v>44804</v>
      </c>
      <c r="C600" s="1">
        <v>108</v>
      </c>
      <c r="D600" s="1" t="s">
        <v>4</v>
      </c>
      <c r="E600" s="2">
        <v>13.48</v>
      </c>
      <c r="F600" s="1">
        <v>1</v>
      </c>
      <c r="G600" s="20">
        <v>44501</v>
      </c>
      <c r="H600" s="21">
        <f t="shared" si="29"/>
        <v>9</v>
      </c>
      <c r="I600" s="24"/>
      <c r="J600" s="3">
        <v>13.48</v>
      </c>
      <c r="K600" s="1">
        <v>93</v>
      </c>
      <c r="L600" s="4">
        <f t="shared" si="27"/>
        <v>1253.6400000000001</v>
      </c>
    </row>
    <row r="601" spans="1:12" x14ac:dyDescent="0.3">
      <c r="A601" s="1">
        <v>2022</v>
      </c>
      <c r="B601" s="20">
        <f t="shared" si="28"/>
        <v>44804</v>
      </c>
      <c r="C601" s="1">
        <v>109</v>
      </c>
      <c r="D601" s="1" t="s">
        <v>4</v>
      </c>
      <c r="E601" s="2">
        <v>43.45</v>
      </c>
      <c r="F601" s="1" t="s">
        <v>32</v>
      </c>
      <c r="H601" s="21" t="str">
        <f t="shared" si="29"/>
        <v/>
      </c>
      <c r="I601" s="24"/>
      <c r="J601" s="3">
        <v>0</v>
      </c>
      <c r="K601" s="1">
        <v>0</v>
      </c>
      <c r="L601" s="4">
        <f t="shared" si="27"/>
        <v>0</v>
      </c>
    </row>
    <row r="602" spans="1:12" x14ac:dyDescent="0.3">
      <c r="A602" s="1">
        <v>2023</v>
      </c>
      <c r="B602" s="20">
        <f t="shared" si="28"/>
        <v>45169</v>
      </c>
      <c r="C602" s="1">
        <v>1</v>
      </c>
      <c r="D602" s="1" t="s">
        <v>2</v>
      </c>
      <c r="E602" s="2">
        <v>16.64</v>
      </c>
      <c r="F602" s="1">
        <v>1</v>
      </c>
      <c r="G602" s="20">
        <v>44835</v>
      </c>
      <c r="H602" s="21">
        <f t="shared" si="29"/>
        <v>10</v>
      </c>
      <c r="I602" s="24"/>
      <c r="J602" s="3">
        <v>16.64</v>
      </c>
      <c r="K602" s="1">
        <v>101</v>
      </c>
      <c r="L602" s="4">
        <f t="shared" si="27"/>
        <v>1680.64</v>
      </c>
    </row>
    <row r="603" spans="1:12" x14ac:dyDescent="0.3">
      <c r="A603" s="1">
        <v>2023</v>
      </c>
      <c r="B603" s="20">
        <f t="shared" si="28"/>
        <v>45169</v>
      </c>
      <c r="C603" s="1">
        <v>2</v>
      </c>
      <c r="D603" s="1" t="s">
        <v>2</v>
      </c>
      <c r="E603" s="2">
        <v>22.24</v>
      </c>
      <c r="F603" s="1">
        <v>1</v>
      </c>
      <c r="G603" s="20">
        <v>44835</v>
      </c>
      <c r="H603" s="21">
        <f t="shared" si="29"/>
        <v>10</v>
      </c>
      <c r="I603" s="24"/>
      <c r="J603" s="3">
        <v>22.24</v>
      </c>
      <c r="K603" s="1">
        <v>92</v>
      </c>
      <c r="L603" s="4">
        <f t="shared" si="27"/>
        <v>2046.08</v>
      </c>
    </row>
    <row r="604" spans="1:12" x14ac:dyDescent="0.3">
      <c r="A604" s="1">
        <v>2023</v>
      </c>
      <c r="B604" s="20">
        <f t="shared" si="28"/>
        <v>45169</v>
      </c>
      <c r="C604" s="1">
        <v>3</v>
      </c>
      <c r="D604" s="1" t="s">
        <v>3</v>
      </c>
      <c r="E604" s="2">
        <v>20.6</v>
      </c>
      <c r="F604" s="1" t="s">
        <v>31</v>
      </c>
      <c r="H604" s="21" t="str">
        <f t="shared" si="29"/>
        <v/>
      </c>
      <c r="I604" s="24"/>
      <c r="J604" s="3">
        <v>20.6</v>
      </c>
      <c r="K604" s="1">
        <v>75</v>
      </c>
      <c r="L604" s="4">
        <f t="shared" si="27"/>
        <v>1545</v>
      </c>
    </row>
    <row r="605" spans="1:12" x14ac:dyDescent="0.3">
      <c r="A605" s="1">
        <v>2023</v>
      </c>
      <c r="B605" s="20">
        <f t="shared" si="28"/>
        <v>45169</v>
      </c>
      <c r="C605" s="1">
        <v>5</v>
      </c>
      <c r="D605" s="1" t="s">
        <v>23</v>
      </c>
      <c r="E605" s="2">
        <v>44.43</v>
      </c>
      <c r="F605" s="1" t="s">
        <v>28</v>
      </c>
      <c r="H605" s="21" t="str">
        <f t="shared" si="29"/>
        <v/>
      </c>
      <c r="I605" s="24"/>
      <c r="J605" s="3">
        <v>44.43</v>
      </c>
      <c r="K605" s="1">
        <v>112</v>
      </c>
      <c r="L605" s="4">
        <f t="shared" si="27"/>
        <v>4976.16</v>
      </c>
    </row>
    <row r="606" spans="1:12" x14ac:dyDescent="0.3">
      <c r="A606" s="1">
        <v>2023</v>
      </c>
      <c r="B606" s="20">
        <f t="shared" si="28"/>
        <v>45169</v>
      </c>
      <c r="C606" s="1">
        <v>8</v>
      </c>
      <c r="D606" s="1" t="s">
        <v>23</v>
      </c>
      <c r="E606" s="2">
        <v>11.01</v>
      </c>
      <c r="F606" s="1" t="s">
        <v>31</v>
      </c>
      <c r="H606" s="21" t="str">
        <f t="shared" si="29"/>
        <v/>
      </c>
      <c r="I606" s="24"/>
      <c r="J606" s="3">
        <v>11.01</v>
      </c>
      <c r="K606" s="1">
        <v>87</v>
      </c>
      <c r="L606" s="4">
        <f t="shared" si="27"/>
        <v>957.87</v>
      </c>
    </row>
    <row r="607" spans="1:12" x14ac:dyDescent="0.3">
      <c r="A607" s="1">
        <v>2023</v>
      </c>
      <c r="B607" s="20">
        <f t="shared" si="28"/>
        <v>45169</v>
      </c>
      <c r="C607" s="1">
        <v>10</v>
      </c>
      <c r="D607" s="1" t="s">
        <v>3</v>
      </c>
      <c r="E607" s="2">
        <v>7.32</v>
      </c>
      <c r="F607" s="1" t="s">
        <v>28</v>
      </c>
      <c r="H607" s="21" t="str">
        <f t="shared" si="29"/>
        <v/>
      </c>
      <c r="I607" s="24"/>
      <c r="J607" s="3">
        <v>7.32</v>
      </c>
      <c r="K607" s="1">
        <v>90</v>
      </c>
      <c r="L607" s="4">
        <f t="shared" si="27"/>
        <v>658.80000000000007</v>
      </c>
    </row>
    <row r="608" spans="1:12" x14ac:dyDescent="0.3">
      <c r="A608" s="1">
        <v>2023</v>
      </c>
      <c r="B608" s="20">
        <f t="shared" si="28"/>
        <v>45169</v>
      </c>
      <c r="C608" s="1">
        <v>12</v>
      </c>
      <c r="D608" s="1" t="s">
        <v>3</v>
      </c>
      <c r="E608" s="2">
        <v>4.34</v>
      </c>
      <c r="F608" s="1" t="s">
        <v>28</v>
      </c>
      <c r="H608" s="21" t="str">
        <f t="shared" si="29"/>
        <v/>
      </c>
      <c r="I608" s="24"/>
      <c r="J608" s="3">
        <v>4.34</v>
      </c>
      <c r="K608" s="1">
        <v>90</v>
      </c>
      <c r="L608" s="4">
        <f t="shared" si="27"/>
        <v>390.59999999999997</v>
      </c>
    </row>
    <row r="609" spans="1:14" x14ac:dyDescent="0.3">
      <c r="A609" s="1">
        <v>2023</v>
      </c>
      <c r="B609" s="20">
        <f t="shared" si="28"/>
        <v>45169</v>
      </c>
      <c r="C609" s="1">
        <v>14</v>
      </c>
      <c r="D609" s="1" t="s">
        <v>3</v>
      </c>
      <c r="E609" s="2">
        <v>7.56</v>
      </c>
      <c r="F609" s="1" t="s">
        <v>28</v>
      </c>
      <c r="H609" s="21" t="str">
        <f t="shared" si="29"/>
        <v/>
      </c>
      <c r="I609" s="24"/>
      <c r="J609" s="3">
        <v>7.56</v>
      </c>
      <c r="K609" s="1">
        <v>90</v>
      </c>
      <c r="L609" s="4">
        <f t="shared" si="27"/>
        <v>680.4</v>
      </c>
    </row>
    <row r="610" spans="1:14" x14ac:dyDescent="0.3">
      <c r="A610" s="1">
        <v>2023</v>
      </c>
      <c r="B610" s="20">
        <f t="shared" si="28"/>
        <v>45169</v>
      </c>
      <c r="C610" s="1">
        <v>15</v>
      </c>
      <c r="D610" s="1" t="s">
        <v>2</v>
      </c>
      <c r="E610" s="2">
        <v>11.45</v>
      </c>
      <c r="F610" s="1" t="s">
        <v>31</v>
      </c>
      <c r="H610" s="21" t="str">
        <f t="shared" si="29"/>
        <v/>
      </c>
      <c r="I610" s="24"/>
      <c r="J610" s="3">
        <v>11.45</v>
      </c>
      <c r="K610" s="1">
        <v>46</v>
      </c>
      <c r="L610" s="4">
        <f t="shared" si="27"/>
        <v>526.69999999999993</v>
      </c>
    </row>
    <row r="611" spans="1:14" x14ac:dyDescent="0.3">
      <c r="A611" s="1">
        <v>2023</v>
      </c>
      <c r="B611" s="20">
        <f t="shared" si="28"/>
        <v>45169</v>
      </c>
      <c r="C611" s="1">
        <v>16</v>
      </c>
      <c r="D611" s="1" t="s">
        <v>3</v>
      </c>
      <c r="E611" s="2">
        <v>10.42</v>
      </c>
      <c r="F611" s="1" t="s">
        <v>28</v>
      </c>
      <c r="H611" s="21" t="str">
        <f t="shared" si="29"/>
        <v/>
      </c>
      <c r="I611" s="24"/>
      <c r="J611" s="3">
        <v>10.42</v>
      </c>
      <c r="K611" s="1">
        <v>90</v>
      </c>
      <c r="L611" s="4">
        <f t="shared" si="27"/>
        <v>937.8</v>
      </c>
    </row>
    <row r="612" spans="1:14" x14ac:dyDescent="0.3">
      <c r="A612" s="1">
        <v>2023</v>
      </c>
      <c r="B612" s="20">
        <f t="shared" si="28"/>
        <v>45169</v>
      </c>
      <c r="C612" s="1">
        <v>17</v>
      </c>
      <c r="D612" s="1" t="s">
        <v>3</v>
      </c>
      <c r="E612" s="2">
        <v>9.6199999999999992</v>
      </c>
      <c r="F612" s="1" t="s">
        <v>28</v>
      </c>
      <c r="H612" s="21" t="str">
        <f t="shared" si="29"/>
        <v/>
      </c>
      <c r="I612" s="24"/>
      <c r="J612" s="3">
        <v>9.6199999999999992</v>
      </c>
      <c r="K612" s="1">
        <v>90</v>
      </c>
      <c r="L612" s="4">
        <f t="shared" si="27"/>
        <v>865.8</v>
      </c>
    </row>
    <row r="613" spans="1:14" x14ac:dyDescent="0.3">
      <c r="A613" s="1">
        <v>2023</v>
      </c>
      <c r="B613" s="20">
        <f t="shared" si="28"/>
        <v>45169</v>
      </c>
      <c r="C613" s="1">
        <v>18</v>
      </c>
      <c r="D613" s="1" t="s">
        <v>4</v>
      </c>
      <c r="E613" s="2">
        <v>4.37</v>
      </c>
      <c r="F613" s="1">
        <v>1</v>
      </c>
      <c r="G613" s="20">
        <v>44835</v>
      </c>
      <c r="H613" s="21">
        <f t="shared" si="29"/>
        <v>10</v>
      </c>
      <c r="I613" s="24"/>
      <c r="J613" s="3">
        <v>4.37</v>
      </c>
      <c r="K613" s="1">
        <v>92</v>
      </c>
      <c r="L613" s="4">
        <f t="shared" si="27"/>
        <v>402.04</v>
      </c>
    </row>
    <row r="614" spans="1:14" x14ac:dyDescent="0.3">
      <c r="A614" s="1">
        <v>2023</v>
      </c>
      <c r="B614" s="20">
        <f t="shared" si="28"/>
        <v>45169</v>
      </c>
      <c r="C614" s="1">
        <v>19</v>
      </c>
      <c r="D614" s="1" t="s">
        <v>4</v>
      </c>
      <c r="E614" s="2">
        <v>13.15</v>
      </c>
      <c r="F614" s="1">
        <v>1</v>
      </c>
      <c r="G614" s="20">
        <v>44866</v>
      </c>
      <c r="H614" s="21">
        <f t="shared" si="29"/>
        <v>9</v>
      </c>
      <c r="I614" s="24"/>
      <c r="J614" s="3">
        <v>13.15</v>
      </c>
      <c r="K614" s="1">
        <v>65</v>
      </c>
      <c r="L614" s="4">
        <f t="shared" si="27"/>
        <v>854.75</v>
      </c>
    </row>
    <row r="615" spans="1:14" x14ac:dyDescent="0.3">
      <c r="A615" s="1">
        <v>2023</v>
      </c>
      <c r="B615" s="20">
        <f t="shared" si="28"/>
        <v>45169</v>
      </c>
      <c r="C615" s="1">
        <v>20</v>
      </c>
      <c r="D615" s="1" t="s">
        <v>3</v>
      </c>
      <c r="E615" s="2">
        <v>5.07</v>
      </c>
      <c r="F615" s="23">
        <v>1.5</v>
      </c>
      <c r="G615" s="20">
        <v>44562</v>
      </c>
      <c r="H615" s="21">
        <f t="shared" si="29"/>
        <v>19</v>
      </c>
      <c r="I615" s="24">
        <f>H615/12</f>
        <v>1.5833333333333333</v>
      </c>
      <c r="J615" s="3">
        <v>5.07</v>
      </c>
      <c r="K615" s="1">
        <v>92</v>
      </c>
      <c r="L615" s="4">
        <f t="shared" si="27"/>
        <v>466.44000000000005</v>
      </c>
    </row>
    <row r="616" spans="1:14" x14ac:dyDescent="0.3">
      <c r="A616" s="1">
        <v>2023</v>
      </c>
      <c r="B616" s="20">
        <f t="shared" si="28"/>
        <v>45169</v>
      </c>
      <c r="C616" s="1">
        <v>21</v>
      </c>
      <c r="D616" s="1" t="s">
        <v>3</v>
      </c>
      <c r="E616" s="2">
        <v>12.77</v>
      </c>
      <c r="F616" s="1">
        <v>1.5</v>
      </c>
      <c r="H616" s="21" t="str">
        <f t="shared" si="29"/>
        <v/>
      </c>
      <c r="I616" s="24"/>
      <c r="J616" s="3">
        <v>12.77</v>
      </c>
      <c r="K616" s="1">
        <v>90</v>
      </c>
      <c r="L616" s="4">
        <f t="shared" si="27"/>
        <v>1149.3</v>
      </c>
    </row>
    <row r="617" spans="1:14" x14ac:dyDescent="0.3">
      <c r="A617" s="1">
        <v>2023</v>
      </c>
      <c r="B617" s="20">
        <f t="shared" si="28"/>
        <v>45169</v>
      </c>
      <c r="C617" s="1">
        <v>22</v>
      </c>
      <c r="D617" s="1" t="s">
        <v>4</v>
      </c>
      <c r="E617" s="2">
        <v>19.98</v>
      </c>
      <c r="F617" s="1">
        <v>1</v>
      </c>
      <c r="G617" s="20">
        <v>44866</v>
      </c>
      <c r="H617" s="21">
        <f t="shared" si="29"/>
        <v>9</v>
      </c>
      <c r="I617" s="24"/>
      <c r="J617" s="3">
        <v>19.98</v>
      </c>
      <c r="K617" s="1">
        <v>85</v>
      </c>
      <c r="L617" s="4">
        <f t="shared" si="27"/>
        <v>1698.3</v>
      </c>
    </row>
    <row r="618" spans="1:14" x14ac:dyDescent="0.3">
      <c r="A618" s="1">
        <v>2023</v>
      </c>
      <c r="B618" s="20">
        <f t="shared" si="28"/>
        <v>45169</v>
      </c>
      <c r="C618" s="1">
        <v>23</v>
      </c>
      <c r="D618" s="1" t="s">
        <v>25</v>
      </c>
      <c r="E618" s="2">
        <v>8.5500000000000007</v>
      </c>
      <c r="F618" s="1" t="s">
        <v>28</v>
      </c>
      <c r="H618" s="21" t="str">
        <f t="shared" si="29"/>
        <v/>
      </c>
      <c r="I618" s="24"/>
      <c r="J618" s="3">
        <v>8.5500000000000007</v>
      </c>
      <c r="K618" s="1">
        <v>80</v>
      </c>
      <c r="L618" s="4">
        <f t="shared" si="27"/>
        <v>684</v>
      </c>
    </row>
    <row r="619" spans="1:14" x14ac:dyDescent="0.3">
      <c r="A619" s="1">
        <v>2023</v>
      </c>
      <c r="B619" s="20">
        <f t="shared" si="28"/>
        <v>45169</v>
      </c>
      <c r="C619" s="1">
        <v>24</v>
      </c>
      <c r="D619" s="1" t="s">
        <v>2</v>
      </c>
      <c r="E619" s="2">
        <v>5.99</v>
      </c>
      <c r="F619" s="1">
        <v>1.5</v>
      </c>
      <c r="G619" s="20">
        <v>44986</v>
      </c>
      <c r="H619" s="21">
        <f t="shared" si="29"/>
        <v>5</v>
      </c>
      <c r="I619" s="24"/>
      <c r="J619" s="3">
        <v>0</v>
      </c>
      <c r="K619" s="1">
        <v>0</v>
      </c>
      <c r="L619" s="4">
        <f>J619*K619</f>
        <v>0</v>
      </c>
    </row>
    <row r="620" spans="1:14" x14ac:dyDescent="0.3">
      <c r="A620" s="1">
        <v>2023</v>
      </c>
      <c r="B620" s="20">
        <f t="shared" si="28"/>
        <v>45169</v>
      </c>
      <c r="C620" s="1">
        <v>25</v>
      </c>
      <c r="D620" s="1" t="s">
        <v>2</v>
      </c>
      <c r="E620" s="2">
        <v>25.17</v>
      </c>
      <c r="F620" s="1">
        <v>1.5</v>
      </c>
      <c r="G620" s="20">
        <v>44958</v>
      </c>
      <c r="H620" s="21">
        <f t="shared" si="29"/>
        <v>6</v>
      </c>
      <c r="I620" s="24"/>
      <c r="J620" s="3">
        <v>0</v>
      </c>
      <c r="K620" s="1">
        <v>0</v>
      </c>
      <c r="L620" s="4">
        <f>J620*K620</f>
        <v>0</v>
      </c>
      <c r="N620" s="7"/>
    </row>
    <row r="621" spans="1:14" x14ac:dyDescent="0.3">
      <c r="A621" s="1">
        <v>2023</v>
      </c>
      <c r="B621" s="20">
        <f t="shared" si="28"/>
        <v>45169</v>
      </c>
      <c r="C621" s="1">
        <v>26</v>
      </c>
      <c r="D621" s="1" t="s">
        <v>2</v>
      </c>
      <c r="E621" s="2">
        <v>18.170000000000002</v>
      </c>
      <c r="F621" s="1">
        <v>1.5</v>
      </c>
      <c r="H621" s="21" t="str">
        <f t="shared" si="29"/>
        <v/>
      </c>
      <c r="I621" s="24"/>
      <c r="J621" s="3">
        <v>0</v>
      </c>
      <c r="K621" s="1">
        <v>0</v>
      </c>
      <c r="L621" s="4">
        <f>J621*K621</f>
        <v>0</v>
      </c>
    </row>
    <row r="622" spans="1:14" x14ac:dyDescent="0.3">
      <c r="A622" s="1">
        <v>2023</v>
      </c>
      <c r="B622" s="20">
        <f t="shared" si="28"/>
        <v>45169</v>
      </c>
      <c r="C622" s="1">
        <v>27</v>
      </c>
      <c r="D622" s="1" t="s">
        <v>2</v>
      </c>
      <c r="E622" s="2">
        <v>25.9</v>
      </c>
      <c r="F622" s="1">
        <v>1.5</v>
      </c>
      <c r="G622" s="20">
        <v>44958</v>
      </c>
      <c r="H622" s="21">
        <f t="shared" si="29"/>
        <v>6</v>
      </c>
      <c r="I622" s="24"/>
      <c r="J622" s="3">
        <v>0</v>
      </c>
      <c r="K622" s="1">
        <v>0</v>
      </c>
      <c r="L622" s="4">
        <f>J622*K622</f>
        <v>0</v>
      </c>
    </row>
    <row r="623" spans="1:14" x14ac:dyDescent="0.3">
      <c r="A623" s="1">
        <v>2023</v>
      </c>
      <c r="B623" s="20">
        <f t="shared" si="28"/>
        <v>45169</v>
      </c>
      <c r="C623" s="1">
        <v>28</v>
      </c>
      <c r="D623" s="1" t="s">
        <v>2</v>
      </c>
      <c r="E623" s="2">
        <v>27.03</v>
      </c>
      <c r="F623" s="1">
        <v>1.5</v>
      </c>
      <c r="G623" s="20">
        <v>44986</v>
      </c>
      <c r="H623" s="21">
        <f t="shared" si="29"/>
        <v>5</v>
      </c>
      <c r="I623" s="24"/>
      <c r="J623" s="3">
        <v>0</v>
      </c>
      <c r="K623" s="1">
        <v>0</v>
      </c>
      <c r="L623" s="4">
        <f t="shared" si="27"/>
        <v>0</v>
      </c>
    </row>
    <row r="624" spans="1:14" x14ac:dyDescent="0.3">
      <c r="A624" s="1">
        <v>2023</v>
      </c>
      <c r="B624" s="20">
        <f t="shared" si="28"/>
        <v>45169</v>
      </c>
      <c r="C624" s="1">
        <v>29</v>
      </c>
      <c r="D624" s="1" t="s">
        <v>4</v>
      </c>
      <c r="E624" s="2">
        <v>39.67</v>
      </c>
      <c r="F624" s="1" t="s">
        <v>28</v>
      </c>
      <c r="H624" s="21" t="str">
        <f t="shared" si="29"/>
        <v/>
      </c>
      <c r="I624" s="24"/>
      <c r="J624" s="3">
        <v>39.67</v>
      </c>
      <c r="K624" s="1">
        <v>112</v>
      </c>
      <c r="L624" s="4">
        <f t="shared" si="27"/>
        <v>4443.04</v>
      </c>
    </row>
    <row r="625" spans="1:12" x14ac:dyDescent="0.3">
      <c r="A625" s="1">
        <v>2023</v>
      </c>
      <c r="B625" s="20">
        <f t="shared" si="28"/>
        <v>45169</v>
      </c>
      <c r="C625" s="1">
        <v>30</v>
      </c>
      <c r="D625" s="1" t="s">
        <v>3</v>
      </c>
      <c r="E625" s="2">
        <v>33.89</v>
      </c>
      <c r="F625" s="1" t="s">
        <v>28</v>
      </c>
      <c r="H625" s="21" t="str">
        <f t="shared" si="29"/>
        <v/>
      </c>
      <c r="I625" s="24"/>
      <c r="J625" s="3">
        <v>33.89</v>
      </c>
      <c r="K625" s="1">
        <v>112</v>
      </c>
      <c r="L625" s="4">
        <f t="shared" si="27"/>
        <v>3795.6800000000003</v>
      </c>
    </row>
    <row r="626" spans="1:12" x14ac:dyDescent="0.3">
      <c r="A626" s="1">
        <v>2023</v>
      </c>
      <c r="B626" s="20">
        <f t="shared" si="28"/>
        <v>45169</v>
      </c>
      <c r="C626" s="1">
        <v>31</v>
      </c>
      <c r="D626" s="1" t="s">
        <v>2</v>
      </c>
      <c r="E626" s="2">
        <v>16.309999999999999</v>
      </c>
      <c r="F626" s="1" t="s">
        <v>28</v>
      </c>
      <c r="H626" s="21" t="str">
        <f t="shared" si="29"/>
        <v/>
      </c>
      <c r="I626" s="24"/>
      <c r="J626" s="3">
        <v>16.309999999999999</v>
      </c>
      <c r="K626" s="1">
        <v>83</v>
      </c>
      <c r="L626" s="4">
        <f t="shared" si="27"/>
        <v>1353.7299999999998</v>
      </c>
    </row>
    <row r="627" spans="1:12" x14ac:dyDescent="0.3">
      <c r="A627" s="1">
        <v>2023</v>
      </c>
      <c r="B627" s="20">
        <f t="shared" si="28"/>
        <v>45169</v>
      </c>
      <c r="C627" s="1">
        <v>32</v>
      </c>
      <c r="D627" s="1" t="s">
        <v>2</v>
      </c>
      <c r="E627" s="2">
        <v>12.26</v>
      </c>
      <c r="F627" s="1" t="s">
        <v>28</v>
      </c>
      <c r="H627" s="21" t="str">
        <f t="shared" si="29"/>
        <v/>
      </c>
      <c r="I627" s="24"/>
      <c r="J627" s="3">
        <v>12.26</v>
      </c>
      <c r="K627" s="1">
        <v>94</v>
      </c>
      <c r="L627" s="4">
        <f t="shared" si="27"/>
        <v>1152.44</v>
      </c>
    </row>
    <row r="628" spans="1:12" x14ac:dyDescent="0.3">
      <c r="A628" s="1">
        <v>2023</v>
      </c>
      <c r="B628" s="20">
        <f t="shared" si="28"/>
        <v>45169</v>
      </c>
      <c r="C628" s="1">
        <v>33</v>
      </c>
      <c r="D628" s="1" t="s">
        <v>5</v>
      </c>
      <c r="E628" s="2">
        <v>9.34</v>
      </c>
      <c r="F628" s="1">
        <v>1.5</v>
      </c>
      <c r="H628" s="21" t="str">
        <f t="shared" si="29"/>
        <v/>
      </c>
      <c r="I628" s="24"/>
      <c r="J628" s="3">
        <v>9.34</v>
      </c>
      <c r="K628" s="1">
        <v>100</v>
      </c>
      <c r="L628" s="4">
        <f t="shared" si="27"/>
        <v>934</v>
      </c>
    </row>
    <row r="629" spans="1:12" x14ac:dyDescent="0.3">
      <c r="A629" s="1">
        <v>2023</v>
      </c>
      <c r="B629" s="20">
        <f t="shared" si="28"/>
        <v>45169</v>
      </c>
      <c r="C629" s="1">
        <v>52</v>
      </c>
      <c r="D629" s="1" t="s">
        <v>2</v>
      </c>
      <c r="E629" s="2">
        <v>13.48</v>
      </c>
      <c r="F629" s="1" t="s">
        <v>31</v>
      </c>
      <c r="H629" s="21" t="str">
        <f t="shared" si="29"/>
        <v/>
      </c>
      <c r="I629" s="24"/>
      <c r="J629" s="3">
        <v>13.48</v>
      </c>
      <c r="K629" s="1">
        <v>65</v>
      </c>
      <c r="L629" s="4">
        <f t="shared" si="27"/>
        <v>876.2</v>
      </c>
    </row>
    <row r="630" spans="1:12" x14ac:dyDescent="0.3">
      <c r="A630" s="1">
        <v>2023</v>
      </c>
      <c r="B630" s="20">
        <f t="shared" si="28"/>
        <v>45169</v>
      </c>
      <c r="C630" s="1">
        <v>53</v>
      </c>
      <c r="D630" s="1" t="s">
        <v>2</v>
      </c>
      <c r="E630" s="2">
        <v>21.75</v>
      </c>
      <c r="F630" s="1" t="s">
        <v>31</v>
      </c>
      <c r="H630" s="21" t="str">
        <f t="shared" si="29"/>
        <v/>
      </c>
      <c r="I630" s="24"/>
      <c r="J630" s="3">
        <v>21.75</v>
      </c>
      <c r="K630" s="1">
        <v>52</v>
      </c>
      <c r="L630" s="4">
        <f t="shared" si="27"/>
        <v>1131</v>
      </c>
    </row>
    <row r="631" spans="1:12" x14ac:dyDescent="0.3">
      <c r="A631" s="1">
        <v>2023</v>
      </c>
      <c r="B631" s="20">
        <f t="shared" si="28"/>
        <v>45169</v>
      </c>
      <c r="C631" s="1">
        <v>54</v>
      </c>
      <c r="D631" s="1" t="s">
        <v>3</v>
      </c>
      <c r="E631" s="2">
        <v>14.41</v>
      </c>
      <c r="F631" s="1" t="s">
        <v>31</v>
      </c>
      <c r="H631" s="21" t="str">
        <f t="shared" si="29"/>
        <v/>
      </c>
      <c r="I631" s="24"/>
      <c r="J631" s="3">
        <v>14.41</v>
      </c>
      <c r="K631" s="1">
        <v>52</v>
      </c>
      <c r="L631" s="4">
        <f t="shared" si="27"/>
        <v>749.32</v>
      </c>
    </row>
    <row r="632" spans="1:12" x14ac:dyDescent="0.3">
      <c r="A632" s="1">
        <v>2023</v>
      </c>
      <c r="B632" s="20">
        <f t="shared" si="28"/>
        <v>45169</v>
      </c>
      <c r="C632" s="1">
        <v>55</v>
      </c>
      <c r="D632" s="1" t="s">
        <v>3</v>
      </c>
      <c r="E632" s="2">
        <v>21.59</v>
      </c>
      <c r="F632" s="1" t="s">
        <v>31</v>
      </c>
      <c r="H632" s="21" t="str">
        <f t="shared" si="29"/>
        <v/>
      </c>
      <c r="I632" s="24"/>
      <c r="J632" s="3">
        <v>21.59</v>
      </c>
      <c r="K632" s="1">
        <v>52</v>
      </c>
      <c r="L632" s="4">
        <f t="shared" si="27"/>
        <v>1122.68</v>
      </c>
    </row>
    <row r="633" spans="1:12" x14ac:dyDescent="0.3">
      <c r="A633" s="1">
        <v>2023</v>
      </c>
      <c r="B633" s="20">
        <f t="shared" si="28"/>
        <v>45169</v>
      </c>
      <c r="C633" s="1">
        <v>58</v>
      </c>
      <c r="D633" s="1" t="s">
        <v>4</v>
      </c>
      <c r="E633" s="2">
        <v>48.97</v>
      </c>
      <c r="F633" s="1">
        <v>1</v>
      </c>
      <c r="G633" s="20">
        <v>44835</v>
      </c>
      <c r="H633" s="21">
        <f t="shared" si="29"/>
        <v>10</v>
      </c>
      <c r="I633" s="24"/>
      <c r="J633" s="3">
        <v>48.97</v>
      </c>
      <c r="K633" s="1">
        <v>92</v>
      </c>
      <c r="L633" s="4">
        <f t="shared" si="27"/>
        <v>4505.24</v>
      </c>
    </row>
    <row r="634" spans="1:12" x14ac:dyDescent="0.3">
      <c r="A634" s="1">
        <v>2023</v>
      </c>
      <c r="B634" s="20">
        <f t="shared" si="28"/>
        <v>45169</v>
      </c>
      <c r="C634" s="1">
        <v>61</v>
      </c>
      <c r="D634" s="1" t="s">
        <v>3</v>
      </c>
      <c r="E634" s="2">
        <v>0.9</v>
      </c>
      <c r="F634" s="1" t="s">
        <v>31</v>
      </c>
      <c r="H634" s="21" t="str">
        <f t="shared" si="29"/>
        <v/>
      </c>
      <c r="I634" s="24"/>
      <c r="J634" s="3">
        <v>0.9</v>
      </c>
      <c r="K634" s="1">
        <v>75</v>
      </c>
      <c r="L634" s="4">
        <f t="shared" si="27"/>
        <v>67.5</v>
      </c>
    </row>
    <row r="635" spans="1:12" x14ac:dyDescent="0.3">
      <c r="A635" s="1">
        <v>2023</v>
      </c>
      <c r="B635" s="20">
        <f t="shared" si="28"/>
        <v>45169</v>
      </c>
      <c r="C635" s="1">
        <v>62</v>
      </c>
      <c r="D635" s="1" t="s">
        <v>3</v>
      </c>
      <c r="E635" s="2">
        <v>9.1300000000000008</v>
      </c>
      <c r="F635" s="1" t="s">
        <v>31</v>
      </c>
      <c r="H635" s="21" t="str">
        <f t="shared" si="29"/>
        <v/>
      </c>
      <c r="I635" s="24"/>
      <c r="J635" s="3">
        <v>9.1300000000000008</v>
      </c>
      <c r="K635" s="1">
        <v>75</v>
      </c>
      <c r="L635" s="4">
        <f t="shared" si="27"/>
        <v>684.75000000000011</v>
      </c>
    </row>
    <row r="636" spans="1:12" x14ac:dyDescent="0.3">
      <c r="A636" s="1">
        <v>2023</v>
      </c>
      <c r="B636" s="20">
        <f t="shared" si="28"/>
        <v>45169</v>
      </c>
      <c r="C636" s="1">
        <v>64</v>
      </c>
      <c r="D636" s="1" t="s">
        <v>4</v>
      </c>
      <c r="E636" s="2">
        <v>19.29</v>
      </c>
      <c r="F636" s="1" t="s">
        <v>28</v>
      </c>
      <c r="H636" s="21" t="str">
        <f t="shared" si="29"/>
        <v/>
      </c>
      <c r="I636" s="24"/>
      <c r="J636" s="3">
        <v>19.29</v>
      </c>
      <c r="K636" s="1">
        <v>112</v>
      </c>
      <c r="L636" s="4">
        <f t="shared" si="27"/>
        <v>2160.48</v>
      </c>
    </row>
    <row r="637" spans="1:12" x14ac:dyDescent="0.3">
      <c r="A637" s="1">
        <v>2023</v>
      </c>
      <c r="B637" s="20">
        <f t="shared" si="28"/>
        <v>45169</v>
      </c>
      <c r="C637" s="1">
        <v>65</v>
      </c>
      <c r="D637" s="1" t="s">
        <v>4</v>
      </c>
      <c r="E637" s="2">
        <v>8.57</v>
      </c>
      <c r="F637" s="1" t="s">
        <v>28</v>
      </c>
      <c r="H637" s="21" t="str">
        <f t="shared" si="29"/>
        <v/>
      </c>
      <c r="I637" s="24"/>
      <c r="J637" s="3">
        <v>8.57</v>
      </c>
      <c r="K637" s="1">
        <v>112</v>
      </c>
      <c r="L637" s="4">
        <f t="shared" si="27"/>
        <v>959.84</v>
      </c>
    </row>
    <row r="638" spans="1:12" x14ac:dyDescent="0.3">
      <c r="A638" s="1">
        <v>2023</v>
      </c>
      <c r="B638" s="20">
        <f t="shared" si="28"/>
        <v>45169</v>
      </c>
      <c r="C638" s="1">
        <v>66</v>
      </c>
      <c r="D638" s="1" t="s">
        <v>4</v>
      </c>
      <c r="E638" s="2">
        <v>10.02</v>
      </c>
      <c r="F638" s="1" t="s">
        <v>28</v>
      </c>
      <c r="H638" s="21" t="str">
        <f t="shared" si="29"/>
        <v/>
      </c>
      <c r="I638" s="24"/>
      <c r="J638" s="3">
        <v>10.02</v>
      </c>
      <c r="K638" s="1">
        <v>112</v>
      </c>
      <c r="L638" s="4">
        <f t="shared" si="27"/>
        <v>1122.24</v>
      </c>
    </row>
    <row r="639" spans="1:12" x14ac:dyDescent="0.3">
      <c r="A639" s="1">
        <v>2023</v>
      </c>
      <c r="B639" s="20">
        <f t="shared" si="28"/>
        <v>45169</v>
      </c>
      <c r="C639" s="1">
        <v>67</v>
      </c>
      <c r="D639" s="1" t="s">
        <v>4</v>
      </c>
      <c r="E639" s="2">
        <v>13.96</v>
      </c>
      <c r="F639" s="1" t="s">
        <v>28</v>
      </c>
      <c r="H639" s="21" t="str">
        <f t="shared" si="29"/>
        <v/>
      </c>
      <c r="I639" s="24"/>
      <c r="J639" s="3">
        <v>13.96</v>
      </c>
      <c r="K639" s="1">
        <v>112</v>
      </c>
      <c r="L639" s="4">
        <f t="shared" si="27"/>
        <v>1563.52</v>
      </c>
    </row>
    <row r="640" spans="1:12" x14ac:dyDescent="0.3">
      <c r="A640" s="1">
        <v>2023</v>
      </c>
      <c r="B640" s="20">
        <f t="shared" si="28"/>
        <v>45169</v>
      </c>
      <c r="C640" s="1">
        <v>69</v>
      </c>
      <c r="D640" s="1" t="s">
        <v>4</v>
      </c>
      <c r="E640" s="2">
        <v>7.47</v>
      </c>
      <c r="F640" s="1" t="s">
        <v>28</v>
      </c>
      <c r="H640" s="21" t="str">
        <f t="shared" si="29"/>
        <v/>
      </c>
      <c r="I640" s="24"/>
      <c r="J640" s="3">
        <v>7.47</v>
      </c>
      <c r="K640" s="1">
        <v>112</v>
      </c>
      <c r="L640" s="4">
        <f t="shared" si="27"/>
        <v>836.64</v>
      </c>
    </row>
    <row r="641" spans="1:12" x14ac:dyDescent="0.3">
      <c r="A641" s="1">
        <v>2023</v>
      </c>
      <c r="B641" s="20">
        <f t="shared" si="28"/>
        <v>45169</v>
      </c>
      <c r="C641" s="1">
        <v>79</v>
      </c>
      <c r="D641" s="1" t="s">
        <v>3</v>
      </c>
      <c r="E641" s="2">
        <v>24.95</v>
      </c>
      <c r="F641" s="1" t="s">
        <v>28</v>
      </c>
      <c r="H641" s="21" t="str">
        <f t="shared" si="29"/>
        <v/>
      </c>
      <c r="I641" s="24"/>
      <c r="J641" s="3">
        <v>24.95</v>
      </c>
      <c r="K641" s="1">
        <v>90</v>
      </c>
      <c r="L641" s="4">
        <f t="shared" si="27"/>
        <v>2245.5</v>
      </c>
    </row>
    <row r="642" spans="1:12" x14ac:dyDescent="0.3">
      <c r="A642" s="1">
        <v>2023</v>
      </c>
      <c r="B642" s="20">
        <f t="shared" si="28"/>
        <v>45169</v>
      </c>
      <c r="C642" s="1">
        <v>83</v>
      </c>
      <c r="D642" s="1" t="s">
        <v>3</v>
      </c>
      <c r="E642" s="2">
        <v>8.25</v>
      </c>
      <c r="F642" s="1" t="s">
        <v>28</v>
      </c>
      <c r="H642" s="21" t="str">
        <f t="shared" si="29"/>
        <v/>
      </c>
      <c r="I642" s="24"/>
      <c r="J642" s="3">
        <v>8.25</v>
      </c>
      <c r="K642" s="1">
        <v>83</v>
      </c>
      <c r="L642" s="4">
        <f t="shared" ref="L642:L663" si="30">J642*K642</f>
        <v>684.75</v>
      </c>
    </row>
    <row r="643" spans="1:12" x14ac:dyDescent="0.3">
      <c r="A643" s="1">
        <v>2023</v>
      </c>
      <c r="B643" s="20">
        <f t="shared" ref="B643:B706" si="31">IF(A643="","",DATE(A643,8,31))</f>
        <v>45169</v>
      </c>
      <c r="C643" s="1">
        <v>84</v>
      </c>
      <c r="D643" s="1" t="s">
        <v>3</v>
      </c>
      <c r="E643" s="2">
        <v>8.8699999999999992</v>
      </c>
      <c r="F643" s="1" t="s">
        <v>28</v>
      </c>
      <c r="H643" s="21" t="str">
        <f t="shared" ref="H643:H706" si="32">IF(OR(G643="",B643=""),"",DATEDIF(G643,B643,"m"))</f>
        <v/>
      </c>
      <c r="I643" s="24"/>
      <c r="J643" s="3">
        <v>8.8699999999999992</v>
      </c>
      <c r="K643" s="1">
        <v>83</v>
      </c>
      <c r="L643" s="4">
        <f t="shared" si="30"/>
        <v>736.20999999999992</v>
      </c>
    </row>
    <row r="644" spans="1:12" x14ac:dyDescent="0.3">
      <c r="A644" s="1">
        <v>2023</v>
      </c>
      <c r="B644" s="20">
        <f t="shared" si="31"/>
        <v>45169</v>
      </c>
      <c r="C644" s="1">
        <v>85</v>
      </c>
      <c r="D644" s="1" t="s">
        <v>3</v>
      </c>
      <c r="E644" s="2">
        <v>3.64</v>
      </c>
      <c r="F644" s="1" t="s">
        <v>28</v>
      </c>
      <c r="H644" s="21" t="str">
        <f t="shared" si="32"/>
        <v/>
      </c>
      <c r="I644" s="24"/>
      <c r="J644" s="3">
        <v>3.64</v>
      </c>
      <c r="K644" s="1">
        <v>57</v>
      </c>
      <c r="L644" s="4">
        <f t="shared" si="30"/>
        <v>207.48000000000002</v>
      </c>
    </row>
    <row r="645" spans="1:12" x14ac:dyDescent="0.3">
      <c r="A645" s="1">
        <v>2023</v>
      </c>
      <c r="B645" s="20">
        <f t="shared" si="31"/>
        <v>45169</v>
      </c>
      <c r="C645" s="1">
        <v>86</v>
      </c>
      <c r="D645" s="1" t="s">
        <v>3</v>
      </c>
      <c r="E645" s="2">
        <v>3.01</v>
      </c>
      <c r="F645" s="1" t="s">
        <v>28</v>
      </c>
      <c r="H645" s="21" t="str">
        <f t="shared" si="32"/>
        <v/>
      </c>
      <c r="I645" s="24"/>
      <c r="J645" s="3">
        <v>3.01</v>
      </c>
      <c r="K645" s="1">
        <v>58</v>
      </c>
      <c r="L645" s="4">
        <f t="shared" si="30"/>
        <v>174.57999999999998</v>
      </c>
    </row>
    <row r="646" spans="1:12" x14ac:dyDescent="0.3">
      <c r="A646" s="1">
        <v>2023</v>
      </c>
      <c r="B646" s="20">
        <f t="shared" si="31"/>
        <v>45169</v>
      </c>
      <c r="C646" s="1">
        <v>87</v>
      </c>
      <c r="D646" s="1" t="s">
        <v>3</v>
      </c>
      <c r="E646" s="2">
        <v>20.69</v>
      </c>
      <c r="F646" s="1" t="s">
        <v>28</v>
      </c>
      <c r="H646" s="21" t="str">
        <f t="shared" si="32"/>
        <v/>
      </c>
      <c r="I646" s="24"/>
      <c r="J646" s="3">
        <v>20.69</v>
      </c>
      <c r="K646" s="1">
        <v>90</v>
      </c>
      <c r="L646" s="4">
        <f t="shared" si="30"/>
        <v>1862.1000000000001</v>
      </c>
    </row>
    <row r="647" spans="1:12" x14ac:dyDescent="0.3">
      <c r="A647" s="1">
        <v>2023</v>
      </c>
      <c r="B647" s="20">
        <f t="shared" si="31"/>
        <v>45169</v>
      </c>
      <c r="C647" s="1">
        <v>92</v>
      </c>
      <c r="D647" s="1" t="s">
        <v>25</v>
      </c>
      <c r="E647" s="2">
        <v>40</v>
      </c>
      <c r="F647" s="1">
        <v>1.5</v>
      </c>
      <c r="H647" s="21" t="str">
        <f t="shared" si="32"/>
        <v/>
      </c>
      <c r="I647" s="24"/>
      <c r="J647" s="3">
        <v>0</v>
      </c>
      <c r="K647" s="1">
        <v>0</v>
      </c>
      <c r="L647" s="4">
        <f t="shared" si="30"/>
        <v>0</v>
      </c>
    </row>
    <row r="648" spans="1:12" x14ac:dyDescent="0.3">
      <c r="A648" s="1">
        <v>2023</v>
      </c>
      <c r="B648" s="20">
        <f t="shared" si="31"/>
        <v>45169</v>
      </c>
      <c r="C648" s="1">
        <v>93</v>
      </c>
      <c r="D648" s="1" t="s">
        <v>3</v>
      </c>
      <c r="E648" s="2">
        <v>27.53</v>
      </c>
      <c r="F648" s="1" t="s">
        <v>32</v>
      </c>
      <c r="H648" s="21" t="str">
        <f t="shared" si="32"/>
        <v/>
      </c>
      <c r="I648" s="24"/>
      <c r="J648" s="3">
        <v>27.53</v>
      </c>
      <c r="K648" s="1">
        <v>79</v>
      </c>
      <c r="L648" s="4">
        <f t="shared" si="30"/>
        <v>2174.87</v>
      </c>
    </row>
    <row r="649" spans="1:12" x14ac:dyDescent="0.3">
      <c r="A649" s="1">
        <v>2023</v>
      </c>
      <c r="B649" s="20">
        <f t="shared" si="31"/>
        <v>45169</v>
      </c>
      <c r="C649" s="1">
        <v>94</v>
      </c>
      <c r="D649" s="1" t="s">
        <v>3</v>
      </c>
      <c r="E649" s="2">
        <v>36.92</v>
      </c>
      <c r="F649" s="1" t="s">
        <v>32</v>
      </c>
      <c r="H649" s="21" t="str">
        <f t="shared" si="32"/>
        <v/>
      </c>
      <c r="I649" s="24"/>
      <c r="J649" s="3">
        <v>36.92</v>
      </c>
      <c r="K649" s="1">
        <v>79</v>
      </c>
      <c r="L649" s="4">
        <f t="shared" si="30"/>
        <v>2916.6800000000003</v>
      </c>
    </row>
    <row r="650" spans="1:12" x14ac:dyDescent="0.3">
      <c r="A650" s="1">
        <v>2023</v>
      </c>
      <c r="B650" s="20">
        <f t="shared" si="31"/>
        <v>45169</v>
      </c>
      <c r="C650" s="1">
        <v>95</v>
      </c>
      <c r="D650" s="1" t="s">
        <v>3</v>
      </c>
      <c r="E650" s="2">
        <v>36.9</v>
      </c>
      <c r="F650" s="1" t="s">
        <v>32</v>
      </c>
      <c r="H650" s="21" t="str">
        <f t="shared" si="32"/>
        <v/>
      </c>
      <c r="I650" s="24"/>
      <c r="J650" s="3">
        <v>36.9</v>
      </c>
      <c r="K650" s="1">
        <v>79</v>
      </c>
      <c r="L650" s="4">
        <f t="shared" si="30"/>
        <v>2915.1</v>
      </c>
    </row>
    <row r="651" spans="1:12" x14ac:dyDescent="0.3">
      <c r="A651" s="1">
        <v>2023</v>
      </c>
      <c r="B651" s="20">
        <f t="shared" si="31"/>
        <v>45169</v>
      </c>
      <c r="C651" s="1">
        <v>96</v>
      </c>
      <c r="D651" s="1" t="s">
        <v>2</v>
      </c>
      <c r="E651" s="2">
        <v>12.28</v>
      </c>
      <c r="F651" s="1" t="s">
        <v>31</v>
      </c>
      <c r="H651" s="21" t="str">
        <f t="shared" si="32"/>
        <v/>
      </c>
      <c r="I651" s="24"/>
      <c r="J651" s="3">
        <v>12.28</v>
      </c>
      <c r="K651" s="1">
        <v>79</v>
      </c>
      <c r="L651" s="4">
        <f t="shared" si="30"/>
        <v>970.12</v>
      </c>
    </row>
    <row r="652" spans="1:12" x14ac:dyDescent="0.3">
      <c r="A652" s="1">
        <v>2023</v>
      </c>
      <c r="B652" s="20">
        <f t="shared" si="31"/>
        <v>45169</v>
      </c>
      <c r="C652" s="1">
        <v>97</v>
      </c>
      <c r="D652" s="1" t="s">
        <v>3</v>
      </c>
      <c r="E652" s="2">
        <v>6.04</v>
      </c>
      <c r="F652" s="1" t="s">
        <v>31</v>
      </c>
      <c r="H652" s="21" t="str">
        <f t="shared" si="32"/>
        <v/>
      </c>
      <c r="I652" s="24"/>
      <c r="J652" s="3">
        <v>6.04</v>
      </c>
      <c r="K652" s="1">
        <v>60</v>
      </c>
      <c r="L652" s="4">
        <f t="shared" si="30"/>
        <v>362.4</v>
      </c>
    </row>
    <row r="653" spans="1:12" x14ac:dyDescent="0.3">
      <c r="A653" s="1">
        <v>2023</v>
      </c>
      <c r="B653" s="20">
        <f t="shared" si="31"/>
        <v>45169</v>
      </c>
      <c r="C653" s="1">
        <v>98</v>
      </c>
      <c r="D653" s="1" t="s">
        <v>3</v>
      </c>
      <c r="E653" s="2">
        <v>14.93</v>
      </c>
      <c r="F653" s="1" t="s">
        <v>31</v>
      </c>
      <c r="H653" s="21" t="str">
        <f t="shared" si="32"/>
        <v/>
      </c>
      <c r="I653" s="24"/>
      <c r="J653" s="3">
        <v>14.93</v>
      </c>
      <c r="K653" s="1">
        <v>85</v>
      </c>
      <c r="L653" s="4">
        <f t="shared" si="30"/>
        <v>1269.05</v>
      </c>
    </row>
    <row r="654" spans="1:12" x14ac:dyDescent="0.3">
      <c r="A654" s="1">
        <v>2023</v>
      </c>
      <c r="B654" s="20">
        <f t="shared" si="31"/>
        <v>45169</v>
      </c>
      <c r="C654" s="1">
        <v>99</v>
      </c>
      <c r="D654" s="1" t="s">
        <v>2</v>
      </c>
      <c r="E654" s="2">
        <v>31.11</v>
      </c>
      <c r="F654" s="1" t="s">
        <v>31</v>
      </c>
      <c r="H654" s="21" t="str">
        <f t="shared" si="32"/>
        <v/>
      </c>
      <c r="I654" s="24"/>
      <c r="J654" s="3">
        <v>31.11</v>
      </c>
      <c r="K654" s="1">
        <v>79</v>
      </c>
      <c r="L654" s="4">
        <f t="shared" si="30"/>
        <v>2457.69</v>
      </c>
    </row>
    <row r="655" spans="1:12" x14ac:dyDescent="0.3">
      <c r="A655" s="1">
        <v>2023</v>
      </c>
      <c r="B655" s="20">
        <f t="shared" si="31"/>
        <v>45169</v>
      </c>
      <c r="C655" s="1">
        <v>100</v>
      </c>
      <c r="D655" s="1" t="s">
        <v>2</v>
      </c>
      <c r="E655" s="2">
        <v>18.940000000000001</v>
      </c>
      <c r="F655" s="1" t="s">
        <v>31</v>
      </c>
      <c r="H655" s="21" t="str">
        <f t="shared" si="32"/>
        <v/>
      </c>
      <c r="I655" s="24"/>
      <c r="J655" s="3">
        <v>18.940000000000001</v>
      </c>
      <c r="K655" s="1">
        <v>79</v>
      </c>
      <c r="L655" s="4">
        <f t="shared" si="30"/>
        <v>1496.26</v>
      </c>
    </row>
    <row r="656" spans="1:12" x14ac:dyDescent="0.3">
      <c r="A656" s="1">
        <v>2023</v>
      </c>
      <c r="B656" s="20">
        <f t="shared" si="31"/>
        <v>45169</v>
      </c>
      <c r="C656" s="1">
        <v>101</v>
      </c>
      <c r="D656" s="1" t="s">
        <v>2</v>
      </c>
      <c r="E656" s="2">
        <v>24.85</v>
      </c>
      <c r="F656" s="1" t="s">
        <v>31</v>
      </c>
      <c r="H656" s="21" t="str">
        <f t="shared" si="32"/>
        <v/>
      </c>
      <c r="I656" s="24"/>
      <c r="J656" s="3">
        <v>24.85</v>
      </c>
      <c r="K656" s="1">
        <v>79</v>
      </c>
      <c r="L656" s="4">
        <f t="shared" si="30"/>
        <v>1963.15</v>
      </c>
    </row>
    <row r="657" spans="1:12" x14ac:dyDescent="0.3">
      <c r="A657" s="1">
        <v>2023</v>
      </c>
      <c r="B657" s="20">
        <f t="shared" si="31"/>
        <v>45169</v>
      </c>
      <c r="C657" s="1">
        <v>102</v>
      </c>
      <c r="D657" s="1" t="s">
        <v>3</v>
      </c>
      <c r="E657" s="2">
        <v>26.5</v>
      </c>
      <c r="F657" s="1" t="s">
        <v>31</v>
      </c>
      <c r="H657" s="21" t="str">
        <f t="shared" si="32"/>
        <v/>
      </c>
      <c r="I657" s="24"/>
      <c r="J657" s="3">
        <v>26.5</v>
      </c>
      <c r="K657" s="1">
        <v>79</v>
      </c>
      <c r="L657" s="4">
        <f t="shared" si="30"/>
        <v>2093.5</v>
      </c>
    </row>
    <row r="658" spans="1:12" x14ac:dyDescent="0.3">
      <c r="A658" s="1">
        <v>2023</v>
      </c>
      <c r="B658" s="20">
        <f t="shared" si="31"/>
        <v>45169</v>
      </c>
      <c r="C658" s="1">
        <v>103</v>
      </c>
      <c r="D658" s="1" t="s">
        <v>2</v>
      </c>
      <c r="E658" s="2">
        <v>12.04</v>
      </c>
      <c r="F658" s="1" t="s">
        <v>31</v>
      </c>
      <c r="H658" s="21" t="str">
        <f t="shared" si="32"/>
        <v/>
      </c>
      <c r="I658" s="24"/>
      <c r="J658" s="3">
        <v>12.04</v>
      </c>
      <c r="K658" s="1">
        <v>79</v>
      </c>
      <c r="L658" s="4">
        <f t="shared" si="30"/>
        <v>951.16</v>
      </c>
    </row>
    <row r="659" spans="1:12" x14ac:dyDescent="0.3">
      <c r="A659" s="1">
        <v>2023</v>
      </c>
      <c r="B659" s="20">
        <f t="shared" si="31"/>
        <v>45169</v>
      </c>
      <c r="C659" s="1">
        <v>104</v>
      </c>
      <c r="D659" s="1" t="s">
        <v>3</v>
      </c>
      <c r="E659" s="2">
        <v>19.32</v>
      </c>
      <c r="F659" s="1" t="s">
        <v>31</v>
      </c>
      <c r="H659" s="21" t="str">
        <f t="shared" si="32"/>
        <v/>
      </c>
      <c r="I659" s="24"/>
      <c r="J659" s="3">
        <v>19.32</v>
      </c>
      <c r="K659" s="1">
        <v>79</v>
      </c>
      <c r="L659" s="4">
        <f t="shared" si="30"/>
        <v>1526.28</v>
      </c>
    </row>
    <row r="660" spans="1:12" x14ac:dyDescent="0.3">
      <c r="A660" s="1">
        <v>2023</v>
      </c>
      <c r="B660" s="20">
        <f t="shared" si="31"/>
        <v>45169</v>
      </c>
      <c r="C660" s="1">
        <v>105</v>
      </c>
      <c r="D660" s="1" t="s">
        <v>3</v>
      </c>
      <c r="E660" s="2">
        <v>38.369999999999997</v>
      </c>
      <c r="F660" s="1" t="s">
        <v>28</v>
      </c>
      <c r="H660" s="21" t="str">
        <f t="shared" si="32"/>
        <v/>
      </c>
      <c r="I660" s="24"/>
      <c r="J660" s="3">
        <v>38.369999999999997</v>
      </c>
      <c r="K660" s="1">
        <v>110</v>
      </c>
      <c r="L660" s="4">
        <f t="shared" si="30"/>
        <v>4220.7</v>
      </c>
    </row>
    <row r="661" spans="1:12" x14ac:dyDescent="0.3">
      <c r="A661" s="1">
        <v>2023</v>
      </c>
      <c r="B661" s="20">
        <f t="shared" si="31"/>
        <v>45169</v>
      </c>
      <c r="C661" s="1">
        <v>106</v>
      </c>
      <c r="D661" s="1" t="s">
        <v>4</v>
      </c>
      <c r="E661" s="2">
        <v>11.54</v>
      </c>
      <c r="F661" s="1" t="s">
        <v>31</v>
      </c>
      <c r="H661" s="21" t="str">
        <f t="shared" si="32"/>
        <v/>
      </c>
      <c r="I661" s="24"/>
      <c r="J661" s="3">
        <v>11.54</v>
      </c>
      <c r="K661" s="1">
        <v>87</v>
      </c>
      <c r="L661" s="4">
        <f t="shared" si="30"/>
        <v>1003.9799999999999</v>
      </c>
    </row>
    <row r="662" spans="1:12" x14ac:dyDescent="0.3">
      <c r="A662" s="1">
        <v>2023</v>
      </c>
      <c r="B662" s="20">
        <f t="shared" si="31"/>
        <v>45169</v>
      </c>
      <c r="C662" s="1">
        <v>108</v>
      </c>
      <c r="D662" s="1" t="s">
        <v>4</v>
      </c>
      <c r="E662" s="2">
        <v>13.48</v>
      </c>
      <c r="F662" s="1" t="s">
        <v>28</v>
      </c>
      <c r="H662" s="21" t="str">
        <f t="shared" si="32"/>
        <v/>
      </c>
      <c r="I662" s="24"/>
      <c r="J662" s="3">
        <v>13.48</v>
      </c>
      <c r="K662" s="1">
        <v>88</v>
      </c>
      <c r="L662" s="4">
        <f t="shared" si="30"/>
        <v>1186.24</v>
      </c>
    </row>
    <row r="663" spans="1:12" x14ac:dyDescent="0.3">
      <c r="A663" s="1">
        <v>2023</v>
      </c>
      <c r="B663" s="20">
        <f t="shared" si="31"/>
        <v>45169</v>
      </c>
      <c r="C663" s="1">
        <v>109</v>
      </c>
      <c r="D663" s="1" t="s">
        <v>4</v>
      </c>
      <c r="E663" s="2">
        <v>43.45</v>
      </c>
      <c r="F663" s="1">
        <v>1.5</v>
      </c>
      <c r="G663" s="20">
        <v>44927</v>
      </c>
      <c r="H663" s="21">
        <f t="shared" si="32"/>
        <v>7</v>
      </c>
      <c r="I663" s="24"/>
      <c r="J663" s="3">
        <v>0</v>
      </c>
      <c r="K663" s="1">
        <v>0</v>
      </c>
      <c r="L663" s="4">
        <f t="shared" si="30"/>
        <v>0</v>
      </c>
    </row>
    <row r="664" spans="1:12" x14ac:dyDescent="0.3">
      <c r="A664" s="1">
        <v>2024</v>
      </c>
      <c r="B664" s="20">
        <f t="shared" si="31"/>
        <v>45535</v>
      </c>
      <c r="C664" s="1">
        <v>1</v>
      </c>
      <c r="D664" s="1" t="s">
        <v>2</v>
      </c>
      <c r="E664" s="2">
        <v>17.7</v>
      </c>
      <c r="F664" s="1" t="s">
        <v>28</v>
      </c>
      <c r="H664" s="21" t="str">
        <f t="shared" si="32"/>
        <v/>
      </c>
      <c r="I664" s="24"/>
      <c r="J664" s="3">
        <v>17.7</v>
      </c>
      <c r="K664" s="1">
        <v>90</v>
      </c>
      <c r="L664" s="4">
        <v>1593</v>
      </c>
    </row>
    <row r="665" spans="1:12" x14ac:dyDescent="0.3">
      <c r="A665" s="1">
        <v>2024</v>
      </c>
      <c r="B665" s="20">
        <f t="shared" si="31"/>
        <v>45535</v>
      </c>
      <c r="C665" s="1">
        <v>2</v>
      </c>
      <c r="D665" s="1" t="s">
        <v>2</v>
      </c>
      <c r="E665" s="2">
        <v>24.23</v>
      </c>
      <c r="F665" s="1" t="s">
        <v>28</v>
      </c>
      <c r="H665" s="21" t="str">
        <f t="shared" si="32"/>
        <v/>
      </c>
      <c r="I665" s="24"/>
      <c r="J665" s="3">
        <v>24.23</v>
      </c>
      <c r="K665" s="1">
        <v>103</v>
      </c>
      <c r="L665" s="4">
        <v>2495.69</v>
      </c>
    </row>
    <row r="666" spans="1:12" x14ac:dyDescent="0.3">
      <c r="A666" s="1">
        <v>2024</v>
      </c>
      <c r="B666" s="20">
        <f t="shared" si="31"/>
        <v>45535</v>
      </c>
      <c r="C666" s="1">
        <v>3</v>
      </c>
      <c r="D666" s="1" t="s">
        <v>3</v>
      </c>
      <c r="E666" s="2">
        <v>20.6</v>
      </c>
      <c r="F666" s="1" t="s">
        <v>32</v>
      </c>
      <c r="H666" s="21" t="str">
        <f t="shared" si="32"/>
        <v/>
      </c>
      <c r="I666" s="24"/>
      <c r="J666" s="3">
        <v>20.6</v>
      </c>
      <c r="K666" s="1">
        <v>80.77</v>
      </c>
      <c r="L666" s="4">
        <v>1663.8620000000001</v>
      </c>
    </row>
    <row r="667" spans="1:12" x14ac:dyDescent="0.3">
      <c r="A667" s="1">
        <v>2024</v>
      </c>
      <c r="B667" s="20">
        <f t="shared" si="31"/>
        <v>45535</v>
      </c>
      <c r="C667" s="1">
        <v>5</v>
      </c>
      <c r="D667" s="1" t="s">
        <v>23</v>
      </c>
      <c r="E667" s="2">
        <v>44.43</v>
      </c>
      <c r="F667" s="1" t="s">
        <v>31</v>
      </c>
      <c r="H667" s="21" t="str">
        <f t="shared" si="32"/>
        <v/>
      </c>
      <c r="I667" s="24"/>
      <c r="J667" s="3">
        <v>44.43</v>
      </c>
      <c r="K667" s="1">
        <v>105</v>
      </c>
      <c r="L667" s="4">
        <v>4665.1499999999996</v>
      </c>
    </row>
    <row r="668" spans="1:12" x14ac:dyDescent="0.3">
      <c r="A668" s="1">
        <v>2024</v>
      </c>
      <c r="B668" s="20">
        <f t="shared" si="31"/>
        <v>45535</v>
      </c>
      <c r="C668" s="1">
        <v>8</v>
      </c>
      <c r="D668" s="1" t="s">
        <v>23</v>
      </c>
      <c r="E668" s="2">
        <v>11.01</v>
      </c>
      <c r="F668" s="1" t="s">
        <v>32</v>
      </c>
      <c r="H668" s="21" t="str">
        <f t="shared" si="32"/>
        <v/>
      </c>
      <c r="I668" s="24"/>
      <c r="J668" s="3">
        <v>11.01</v>
      </c>
      <c r="K668" s="1">
        <v>75</v>
      </c>
      <c r="L668" s="4">
        <v>825.75</v>
      </c>
    </row>
    <row r="669" spans="1:12" x14ac:dyDescent="0.3">
      <c r="A669" s="1">
        <v>2024</v>
      </c>
      <c r="B669" s="20">
        <f t="shared" si="31"/>
        <v>45535</v>
      </c>
      <c r="C669" s="1">
        <v>10</v>
      </c>
      <c r="D669" s="1" t="s">
        <v>3</v>
      </c>
      <c r="E669" s="2">
        <v>7.32</v>
      </c>
      <c r="F669" s="1" t="s">
        <v>31</v>
      </c>
      <c r="H669" s="21" t="str">
        <f t="shared" si="32"/>
        <v/>
      </c>
      <c r="I669" s="24"/>
      <c r="J669" s="3">
        <v>7.32</v>
      </c>
      <c r="K669" s="1">
        <v>90</v>
      </c>
      <c r="L669" s="4">
        <v>658.80000000000007</v>
      </c>
    </row>
    <row r="670" spans="1:12" x14ac:dyDescent="0.3">
      <c r="A670" s="1">
        <v>2024</v>
      </c>
      <c r="B670" s="20">
        <f t="shared" si="31"/>
        <v>45535</v>
      </c>
      <c r="C670" s="1">
        <v>12</v>
      </c>
      <c r="D670" s="1" t="s">
        <v>3</v>
      </c>
      <c r="E670" s="2">
        <v>4.34</v>
      </c>
      <c r="F670" s="1" t="s">
        <v>31</v>
      </c>
      <c r="H670" s="21" t="str">
        <f t="shared" si="32"/>
        <v/>
      </c>
      <c r="I670" s="24"/>
      <c r="J670" s="3">
        <v>4.34</v>
      </c>
      <c r="K670" s="1">
        <v>90</v>
      </c>
      <c r="L670" s="4">
        <v>390.59999999999997</v>
      </c>
    </row>
    <row r="671" spans="1:12" x14ac:dyDescent="0.3">
      <c r="A671" s="1">
        <v>2024</v>
      </c>
      <c r="B671" s="20">
        <f t="shared" si="31"/>
        <v>45535</v>
      </c>
      <c r="C671" s="1">
        <v>14</v>
      </c>
      <c r="D671" s="1" t="s">
        <v>3</v>
      </c>
      <c r="E671" s="2">
        <v>7.56</v>
      </c>
      <c r="F671" s="1" t="s">
        <v>31</v>
      </c>
      <c r="H671" s="21" t="str">
        <f t="shared" si="32"/>
        <v/>
      </c>
      <c r="I671" s="24"/>
      <c r="J671" s="3">
        <v>7.56</v>
      </c>
      <c r="K671" s="1">
        <v>90</v>
      </c>
      <c r="L671" s="4">
        <v>680.4</v>
      </c>
    </row>
    <row r="672" spans="1:12" x14ac:dyDescent="0.3">
      <c r="A672" s="1">
        <v>2024</v>
      </c>
      <c r="B672" s="20">
        <f t="shared" si="31"/>
        <v>45535</v>
      </c>
      <c r="C672" s="1">
        <v>15</v>
      </c>
      <c r="D672" s="1" t="s">
        <v>4</v>
      </c>
      <c r="E672" s="2">
        <v>11.45</v>
      </c>
      <c r="F672" s="1">
        <v>1</v>
      </c>
      <c r="G672" s="20">
        <v>45261</v>
      </c>
      <c r="H672" s="21">
        <f t="shared" si="32"/>
        <v>8</v>
      </c>
      <c r="I672" s="24"/>
      <c r="J672" s="3">
        <v>11.45</v>
      </c>
      <c r="K672" s="1">
        <v>75</v>
      </c>
      <c r="L672" s="4">
        <v>858.75</v>
      </c>
    </row>
    <row r="673" spans="1:12" x14ac:dyDescent="0.3">
      <c r="A673" s="1">
        <v>2024</v>
      </c>
      <c r="B673" s="20">
        <f t="shared" si="31"/>
        <v>45535</v>
      </c>
      <c r="C673" s="1">
        <v>16</v>
      </c>
      <c r="D673" s="1" t="s">
        <v>3</v>
      </c>
      <c r="E673" s="2">
        <v>10.42</v>
      </c>
      <c r="F673" s="1" t="s">
        <v>31</v>
      </c>
      <c r="H673" s="21" t="str">
        <f t="shared" si="32"/>
        <v/>
      </c>
      <c r="I673" s="24"/>
      <c r="J673" s="3">
        <v>10.42</v>
      </c>
      <c r="K673" s="1">
        <v>90</v>
      </c>
      <c r="L673" s="4">
        <v>937.8</v>
      </c>
    </row>
    <row r="674" spans="1:12" x14ac:dyDescent="0.3">
      <c r="A674" s="1">
        <v>2024</v>
      </c>
      <c r="B674" s="20">
        <f t="shared" si="31"/>
        <v>45535</v>
      </c>
      <c r="C674" s="1">
        <v>17</v>
      </c>
      <c r="D674" s="1" t="s">
        <v>3</v>
      </c>
      <c r="E674" s="2">
        <v>9.6199999999999992</v>
      </c>
      <c r="F674" s="1" t="s">
        <v>31</v>
      </c>
      <c r="H674" s="21" t="str">
        <f t="shared" si="32"/>
        <v/>
      </c>
      <c r="I674" s="24"/>
      <c r="J674" s="3">
        <v>9.6199999999999992</v>
      </c>
      <c r="K674" s="1">
        <v>90</v>
      </c>
      <c r="L674" s="4">
        <v>865.8</v>
      </c>
    </row>
    <row r="675" spans="1:12" x14ac:dyDescent="0.3">
      <c r="A675" s="1">
        <v>2024</v>
      </c>
      <c r="B675" s="20">
        <f t="shared" si="31"/>
        <v>45535</v>
      </c>
      <c r="C675" s="1">
        <v>18</v>
      </c>
      <c r="D675" s="1" t="s">
        <v>4</v>
      </c>
      <c r="E675" s="2">
        <v>4.38</v>
      </c>
      <c r="F675" s="1" t="s">
        <v>28</v>
      </c>
      <c r="H675" s="21" t="str">
        <f t="shared" si="32"/>
        <v/>
      </c>
      <c r="I675" s="24"/>
      <c r="J675" s="3">
        <v>4.38</v>
      </c>
      <c r="K675" s="1">
        <v>95</v>
      </c>
      <c r="L675" s="4">
        <v>416.09999999999997</v>
      </c>
    </row>
    <row r="676" spans="1:12" x14ac:dyDescent="0.3">
      <c r="A676" s="1">
        <v>2024</v>
      </c>
      <c r="B676" s="20">
        <f t="shared" si="31"/>
        <v>45535</v>
      </c>
      <c r="C676" s="1">
        <v>19</v>
      </c>
      <c r="D676" s="1" t="s">
        <v>4</v>
      </c>
      <c r="E676" s="2">
        <v>13.29</v>
      </c>
      <c r="F676" s="1" t="s">
        <v>28</v>
      </c>
      <c r="H676" s="21" t="str">
        <f t="shared" si="32"/>
        <v/>
      </c>
      <c r="I676" s="24"/>
      <c r="J676" s="3">
        <v>13.29</v>
      </c>
      <c r="K676" s="1">
        <v>95</v>
      </c>
      <c r="L676" s="4">
        <v>1262.55</v>
      </c>
    </row>
    <row r="677" spans="1:12" x14ac:dyDescent="0.3">
      <c r="A677" s="1">
        <v>2024</v>
      </c>
      <c r="B677" s="20">
        <f t="shared" si="31"/>
        <v>45535</v>
      </c>
      <c r="C677" s="1">
        <v>20</v>
      </c>
      <c r="D677" s="1" t="s">
        <v>3</v>
      </c>
      <c r="E677" s="2">
        <v>5.07</v>
      </c>
      <c r="F677" s="1" t="s">
        <v>28</v>
      </c>
      <c r="G677" s="20">
        <v>44562</v>
      </c>
      <c r="H677" s="21">
        <f t="shared" si="32"/>
        <v>31</v>
      </c>
      <c r="I677" s="24">
        <f>H677/12</f>
        <v>2.5833333333333335</v>
      </c>
      <c r="J677" s="3">
        <v>5.07</v>
      </c>
      <c r="K677" s="1">
        <v>90</v>
      </c>
      <c r="L677" s="4">
        <v>456.3</v>
      </c>
    </row>
    <row r="678" spans="1:12" x14ac:dyDescent="0.3">
      <c r="A678" s="1">
        <v>2024</v>
      </c>
      <c r="B678" s="20">
        <f t="shared" si="31"/>
        <v>45535</v>
      </c>
      <c r="C678" s="1">
        <v>21</v>
      </c>
      <c r="D678" s="1" t="s">
        <v>3</v>
      </c>
      <c r="E678" s="2">
        <v>12.77</v>
      </c>
      <c r="F678" s="1" t="s">
        <v>28</v>
      </c>
      <c r="H678" s="21" t="str">
        <f t="shared" si="32"/>
        <v/>
      </c>
      <c r="I678" s="24"/>
      <c r="J678" s="3">
        <v>12.77</v>
      </c>
      <c r="K678" s="1">
        <v>90</v>
      </c>
      <c r="L678" s="4">
        <v>1149.3</v>
      </c>
    </row>
    <row r="679" spans="1:12" x14ac:dyDescent="0.3">
      <c r="A679" s="1">
        <v>2024</v>
      </c>
      <c r="B679" s="20">
        <f t="shared" si="31"/>
        <v>45535</v>
      </c>
      <c r="C679" s="1">
        <v>22</v>
      </c>
      <c r="D679" s="1" t="s">
        <v>4</v>
      </c>
      <c r="E679" s="2">
        <v>20.18</v>
      </c>
      <c r="F679" s="1" t="s">
        <v>28</v>
      </c>
      <c r="H679" s="21" t="str">
        <f t="shared" si="32"/>
        <v/>
      </c>
      <c r="I679" s="24"/>
      <c r="J679" s="3">
        <v>20.18</v>
      </c>
      <c r="K679" s="1">
        <v>103</v>
      </c>
      <c r="L679" s="4">
        <v>2078.54</v>
      </c>
    </row>
    <row r="680" spans="1:12" x14ac:dyDescent="0.3">
      <c r="A680" s="1">
        <v>2024</v>
      </c>
      <c r="B680" s="20">
        <f t="shared" si="31"/>
        <v>45535</v>
      </c>
      <c r="C680" s="1">
        <v>23</v>
      </c>
      <c r="D680" s="1" t="s">
        <v>25</v>
      </c>
      <c r="E680" s="2">
        <v>8.5500000000000007</v>
      </c>
      <c r="F680" s="1" t="s">
        <v>31</v>
      </c>
      <c r="H680" s="21" t="str">
        <f t="shared" si="32"/>
        <v/>
      </c>
      <c r="I680" s="24"/>
      <c r="J680" s="3">
        <v>8.5500000000000007</v>
      </c>
      <c r="K680" s="1">
        <v>80</v>
      </c>
      <c r="L680" s="4">
        <v>684</v>
      </c>
    </row>
    <row r="681" spans="1:12" x14ac:dyDescent="0.3">
      <c r="A681" s="1">
        <v>2024</v>
      </c>
      <c r="B681" s="20">
        <f t="shared" si="31"/>
        <v>45535</v>
      </c>
      <c r="C681" s="1">
        <v>24</v>
      </c>
      <c r="D681" s="1" t="s">
        <v>2</v>
      </c>
      <c r="E681" s="2">
        <v>12.21</v>
      </c>
      <c r="F681" s="1">
        <v>1.5</v>
      </c>
      <c r="G681" s="20">
        <v>44986</v>
      </c>
      <c r="H681" s="21">
        <f t="shared" si="32"/>
        <v>17</v>
      </c>
      <c r="I681" s="24"/>
      <c r="J681" s="3">
        <v>12.21</v>
      </c>
      <c r="K681" s="1">
        <v>121.05</v>
      </c>
      <c r="L681" s="4">
        <v>1370</v>
      </c>
    </row>
    <row r="682" spans="1:12" x14ac:dyDescent="0.3">
      <c r="A682" s="1">
        <v>2024</v>
      </c>
      <c r="B682" s="20">
        <f t="shared" si="31"/>
        <v>45535</v>
      </c>
      <c r="C682" s="1">
        <v>25</v>
      </c>
      <c r="D682" s="1" t="s">
        <v>4</v>
      </c>
      <c r="E682" s="2">
        <v>11.43</v>
      </c>
      <c r="F682" s="1">
        <v>1.5</v>
      </c>
      <c r="G682" s="20">
        <v>44958</v>
      </c>
      <c r="H682" s="21">
        <f t="shared" si="32"/>
        <v>18</v>
      </c>
      <c r="I682" s="24"/>
      <c r="J682" s="3">
        <v>11.43</v>
      </c>
      <c r="K682" s="1">
        <v>144</v>
      </c>
      <c r="L682" s="4">
        <v>1645.92</v>
      </c>
    </row>
    <row r="683" spans="1:12" x14ac:dyDescent="0.3">
      <c r="A683" s="1">
        <v>2024</v>
      </c>
      <c r="B683" s="20">
        <f t="shared" si="31"/>
        <v>45535</v>
      </c>
      <c r="C683" s="1">
        <v>26</v>
      </c>
      <c r="D683" s="1" t="s">
        <v>4</v>
      </c>
      <c r="E683" s="2">
        <v>19.11</v>
      </c>
      <c r="F683" s="1">
        <v>1</v>
      </c>
      <c r="G683" s="20">
        <v>45231</v>
      </c>
      <c r="H683" s="21">
        <f t="shared" si="32"/>
        <v>9</v>
      </c>
      <c r="I683" s="24"/>
      <c r="J683" s="3">
        <v>19.11</v>
      </c>
      <c r="K683" s="1">
        <v>144</v>
      </c>
      <c r="L683" s="4">
        <v>1065</v>
      </c>
    </row>
    <row r="684" spans="1:12" x14ac:dyDescent="0.3">
      <c r="A684" s="1">
        <v>2024</v>
      </c>
      <c r="B684" s="20">
        <f t="shared" si="31"/>
        <v>45535</v>
      </c>
      <c r="C684" s="1">
        <v>27</v>
      </c>
      <c r="D684" s="1" t="s">
        <v>5</v>
      </c>
      <c r="E684" s="2">
        <v>25.9</v>
      </c>
      <c r="F684" s="1">
        <v>1.5</v>
      </c>
      <c r="G684" s="20">
        <v>44958</v>
      </c>
      <c r="H684" s="21">
        <f t="shared" si="32"/>
        <v>18</v>
      </c>
      <c r="I684" s="24"/>
      <c r="J684" s="3">
        <v>25.9</v>
      </c>
      <c r="K684" s="1">
        <v>135</v>
      </c>
      <c r="L684" s="4">
        <v>3496.5</v>
      </c>
    </row>
    <row r="685" spans="1:12" x14ac:dyDescent="0.3">
      <c r="A685" s="1">
        <v>2024</v>
      </c>
      <c r="B685" s="20">
        <f t="shared" si="31"/>
        <v>45535</v>
      </c>
      <c r="C685" s="1">
        <v>28</v>
      </c>
      <c r="D685" s="1" t="s">
        <v>5</v>
      </c>
      <c r="E685" s="2">
        <v>27.03</v>
      </c>
      <c r="F685" s="1">
        <v>1.5</v>
      </c>
      <c r="G685" s="20">
        <v>44986</v>
      </c>
      <c r="H685" s="21">
        <f t="shared" si="32"/>
        <v>17</v>
      </c>
      <c r="I685" s="24"/>
      <c r="J685" s="3">
        <v>27.03</v>
      </c>
      <c r="K685" s="1">
        <v>130.04</v>
      </c>
      <c r="L685" s="4">
        <v>3514.9811999999997</v>
      </c>
    </row>
    <row r="686" spans="1:12" x14ac:dyDescent="0.3">
      <c r="A686" s="1">
        <v>2024</v>
      </c>
      <c r="B686" s="20">
        <f t="shared" si="31"/>
        <v>45535</v>
      </c>
      <c r="C686" s="1">
        <v>29</v>
      </c>
      <c r="D686" s="1" t="s">
        <v>4</v>
      </c>
      <c r="E686" s="2">
        <v>39.57</v>
      </c>
      <c r="F686" s="1" t="s">
        <v>31</v>
      </c>
      <c r="H686" s="21" t="str">
        <f t="shared" si="32"/>
        <v/>
      </c>
      <c r="I686" s="24"/>
      <c r="J686" s="3">
        <v>39.57</v>
      </c>
      <c r="K686" s="1">
        <v>92</v>
      </c>
      <c r="L686" s="4">
        <v>3640.44</v>
      </c>
    </row>
    <row r="687" spans="1:12" x14ac:dyDescent="0.3">
      <c r="A687" s="1">
        <v>2024</v>
      </c>
      <c r="B687" s="20">
        <f t="shared" si="31"/>
        <v>45535</v>
      </c>
      <c r="C687" s="1">
        <v>30</v>
      </c>
      <c r="D687" s="1" t="s">
        <v>3</v>
      </c>
      <c r="E687" s="2">
        <v>33.89</v>
      </c>
      <c r="F687" s="1" t="s">
        <v>31</v>
      </c>
      <c r="H687" s="21" t="str">
        <f t="shared" si="32"/>
        <v/>
      </c>
      <c r="I687" s="24"/>
      <c r="J687" s="3">
        <v>33.89</v>
      </c>
      <c r="K687" s="1">
        <v>102</v>
      </c>
      <c r="L687" s="4">
        <v>3456.78</v>
      </c>
    </row>
    <row r="688" spans="1:12" x14ac:dyDescent="0.3">
      <c r="A688" s="1">
        <v>2024</v>
      </c>
      <c r="B688" s="20">
        <f t="shared" si="31"/>
        <v>45535</v>
      </c>
      <c r="C688" s="1">
        <v>31</v>
      </c>
      <c r="D688" s="1" t="s">
        <v>2</v>
      </c>
      <c r="E688" s="2">
        <v>16.309999999999999</v>
      </c>
      <c r="F688" s="1" t="s">
        <v>31</v>
      </c>
      <c r="H688" s="21" t="str">
        <f t="shared" si="32"/>
        <v/>
      </c>
      <c r="I688" s="24"/>
      <c r="J688" s="3">
        <v>16.309999999999999</v>
      </c>
      <c r="K688" s="1">
        <v>102</v>
      </c>
      <c r="L688" s="4">
        <v>1663.62</v>
      </c>
    </row>
    <row r="689" spans="1:12" x14ac:dyDescent="0.3">
      <c r="A689" s="1">
        <v>2024</v>
      </c>
      <c r="B689" s="20">
        <f t="shared" si="31"/>
        <v>45535</v>
      </c>
      <c r="C689" s="1">
        <v>32</v>
      </c>
      <c r="D689" s="1" t="s">
        <v>2</v>
      </c>
      <c r="E689" s="2">
        <v>12.26</v>
      </c>
      <c r="F689" s="1" t="s">
        <v>31</v>
      </c>
      <c r="H689" s="21" t="str">
        <f t="shared" si="32"/>
        <v/>
      </c>
      <c r="I689" s="24"/>
      <c r="J689" s="3">
        <v>12.26</v>
      </c>
      <c r="K689" s="1">
        <v>102</v>
      </c>
      <c r="L689" s="4">
        <v>1250.52</v>
      </c>
    </row>
    <row r="690" spans="1:12" x14ac:dyDescent="0.3">
      <c r="A690" s="1">
        <v>2024</v>
      </c>
      <c r="B690" s="20">
        <f t="shared" si="31"/>
        <v>45535</v>
      </c>
      <c r="C690" s="1">
        <v>33</v>
      </c>
      <c r="D690" s="1" t="s">
        <v>5</v>
      </c>
      <c r="E690" s="2">
        <v>9.34</v>
      </c>
      <c r="F690" s="1" t="s">
        <v>28</v>
      </c>
      <c r="H690" s="21" t="str">
        <f t="shared" si="32"/>
        <v/>
      </c>
      <c r="I690" s="24"/>
      <c r="J690" s="3">
        <v>9.34</v>
      </c>
      <c r="K690" s="1">
        <v>113</v>
      </c>
      <c r="L690" s="4">
        <v>1055.42</v>
      </c>
    </row>
    <row r="691" spans="1:12" x14ac:dyDescent="0.3">
      <c r="A691" s="1">
        <v>2024</v>
      </c>
      <c r="B691" s="20">
        <f t="shared" si="31"/>
        <v>45535</v>
      </c>
      <c r="C691" s="1">
        <v>52</v>
      </c>
      <c r="D691" s="1" t="s">
        <v>2</v>
      </c>
      <c r="E691" s="2">
        <v>13.48</v>
      </c>
      <c r="F691" s="1" t="s">
        <v>32</v>
      </c>
      <c r="H691" s="21" t="str">
        <f t="shared" si="32"/>
        <v/>
      </c>
      <c r="I691" s="24"/>
      <c r="J691" s="3">
        <v>13.48</v>
      </c>
      <c r="K691" s="1">
        <v>59</v>
      </c>
      <c r="L691" s="4">
        <v>795.32</v>
      </c>
    </row>
    <row r="692" spans="1:12" x14ac:dyDescent="0.3">
      <c r="A692" s="1">
        <v>2024</v>
      </c>
      <c r="B692" s="20">
        <f t="shared" si="31"/>
        <v>45535</v>
      </c>
      <c r="C692" s="1">
        <v>53</v>
      </c>
      <c r="D692" s="1" t="s">
        <v>4</v>
      </c>
      <c r="E692" s="2">
        <v>21.75</v>
      </c>
      <c r="F692" s="1">
        <v>1</v>
      </c>
      <c r="G692" s="20">
        <v>45231</v>
      </c>
      <c r="H692" s="21">
        <f t="shared" si="32"/>
        <v>9</v>
      </c>
      <c r="I692" s="24"/>
      <c r="J692" s="3">
        <v>21.75</v>
      </c>
      <c r="K692" s="1">
        <v>85</v>
      </c>
      <c r="L692" s="4">
        <v>1848.75</v>
      </c>
    </row>
    <row r="693" spans="1:12" x14ac:dyDescent="0.3">
      <c r="A693" s="1">
        <v>2024</v>
      </c>
      <c r="B693" s="20">
        <f t="shared" si="31"/>
        <v>45535</v>
      </c>
      <c r="C693" s="1">
        <v>54</v>
      </c>
      <c r="D693" s="1" t="s">
        <v>3</v>
      </c>
      <c r="E693" s="2">
        <v>14.41</v>
      </c>
      <c r="F693" s="1">
        <v>1</v>
      </c>
      <c r="G693" s="20">
        <v>45261</v>
      </c>
      <c r="H693" s="21">
        <f t="shared" si="32"/>
        <v>8</v>
      </c>
      <c r="I693" s="24"/>
      <c r="J693" s="3">
        <v>14.41</v>
      </c>
      <c r="K693" s="1">
        <v>75</v>
      </c>
      <c r="L693" s="4">
        <v>1080.75</v>
      </c>
    </row>
    <row r="694" spans="1:12" x14ac:dyDescent="0.3">
      <c r="A694" s="1">
        <v>2024</v>
      </c>
      <c r="B694" s="20">
        <f t="shared" si="31"/>
        <v>45535</v>
      </c>
      <c r="C694" s="1">
        <v>55</v>
      </c>
      <c r="D694" s="1" t="s">
        <v>4</v>
      </c>
      <c r="E694" s="2">
        <v>21.59</v>
      </c>
      <c r="F694" s="1">
        <v>1</v>
      </c>
      <c r="G694" s="20">
        <v>45261</v>
      </c>
      <c r="H694" s="21">
        <f t="shared" si="32"/>
        <v>8</v>
      </c>
      <c r="I694" s="24"/>
      <c r="J694" s="3">
        <v>21.59</v>
      </c>
      <c r="K694" s="1">
        <v>75</v>
      </c>
      <c r="L694" s="4">
        <v>1619.25</v>
      </c>
    </row>
    <row r="695" spans="1:12" x14ac:dyDescent="0.3">
      <c r="A695" s="1">
        <v>2024</v>
      </c>
      <c r="B695" s="20">
        <f t="shared" si="31"/>
        <v>45535</v>
      </c>
      <c r="C695" s="1">
        <v>58</v>
      </c>
      <c r="D695" s="1" t="s">
        <v>4</v>
      </c>
      <c r="E695" s="2">
        <v>51.11</v>
      </c>
      <c r="F695" s="1" t="s">
        <v>28</v>
      </c>
      <c r="H695" s="21" t="str">
        <f t="shared" si="32"/>
        <v/>
      </c>
      <c r="I695" s="24"/>
      <c r="J695" s="3">
        <v>51.11</v>
      </c>
      <c r="K695" s="1">
        <v>114</v>
      </c>
      <c r="L695" s="4">
        <v>5826.54</v>
      </c>
    </row>
    <row r="696" spans="1:12" x14ac:dyDescent="0.3">
      <c r="A696" s="1">
        <v>2024</v>
      </c>
      <c r="B696" s="20">
        <f t="shared" si="31"/>
        <v>45535</v>
      </c>
      <c r="C696" s="1">
        <v>61</v>
      </c>
      <c r="D696" s="1" t="s">
        <v>3</v>
      </c>
      <c r="E696" s="2">
        <v>0.9</v>
      </c>
      <c r="F696" s="1" t="s">
        <v>32</v>
      </c>
      <c r="H696" s="21" t="str">
        <f t="shared" si="32"/>
        <v/>
      </c>
      <c r="I696" s="24"/>
      <c r="J696" s="3">
        <v>0.9</v>
      </c>
      <c r="K696" s="1">
        <v>80</v>
      </c>
      <c r="L696" s="4">
        <v>72</v>
      </c>
    </row>
    <row r="697" spans="1:12" x14ac:dyDescent="0.3">
      <c r="A697" s="1">
        <v>2024</v>
      </c>
      <c r="B697" s="20">
        <f t="shared" si="31"/>
        <v>45535</v>
      </c>
      <c r="C697" s="1">
        <v>62</v>
      </c>
      <c r="D697" s="1" t="s">
        <v>3</v>
      </c>
      <c r="E697" s="2">
        <v>9.1300000000000008</v>
      </c>
      <c r="F697" s="1" t="s">
        <v>32</v>
      </c>
      <c r="H697" s="21" t="str">
        <f t="shared" si="32"/>
        <v/>
      </c>
      <c r="I697" s="24"/>
      <c r="J697" s="3">
        <v>9.1300000000000008</v>
      </c>
      <c r="K697" s="1">
        <v>80</v>
      </c>
      <c r="L697" s="4">
        <v>730.40000000000009</v>
      </c>
    </row>
    <row r="698" spans="1:12" x14ac:dyDescent="0.3">
      <c r="A698" s="1">
        <v>2024</v>
      </c>
      <c r="B698" s="20">
        <f t="shared" si="31"/>
        <v>45535</v>
      </c>
      <c r="C698" s="1">
        <v>64</v>
      </c>
      <c r="D698" s="1" t="s">
        <v>4</v>
      </c>
      <c r="E698" s="2">
        <v>19.29</v>
      </c>
      <c r="F698" s="1" t="s">
        <v>31</v>
      </c>
      <c r="H698" s="21" t="str">
        <f t="shared" si="32"/>
        <v/>
      </c>
      <c r="I698" s="24"/>
      <c r="J698" s="3">
        <v>19.29</v>
      </c>
      <c r="K698" s="1">
        <v>107</v>
      </c>
      <c r="L698" s="4">
        <v>2064.0299999999997</v>
      </c>
    </row>
    <row r="699" spans="1:12" x14ac:dyDescent="0.3">
      <c r="A699" s="1">
        <v>2024</v>
      </c>
      <c r="B699" s="20">
        <f t="shared" si="31"/>
        <v>45535</v>
      </c>
      <c r="C699" s="1">
        <v>65</v>
      </c>
      <c r="D699" s="1" t="s">
        <v>4</v>
      </c>
      <c r="E699" s="2">
        <v>8.57</v>
      </c>
      <c r="F699" s="1" t="s">
        <v>31</v>
      </c>
      <c r="H699" s="21" t="str">
        <f t="shared" si="32"/>
        <v/>
      </c>
      <c r="I699" s="24"/>
      <c r="J699" s="3">
        <v>8.57</v>
      </c>
      <c r="K699" s="1">
        <v>107</v>
      </c>
      <c r="L699" s="4">
        <v>916.99</v>
      </c>
    </row>
    <row r="700" spans="1:12" x14ac:dyDescent="0.3">
      <c r="A700" s="1">
        <v>2024</v>
      </c>
      <c r="B700" s="20">
        <f t="shared" si="31"/>
        <v>45535</v>
      </c>
      <c r="C700" s="1">
        <v>66</v>
      </c>
      <c r="D700" s="1" t="s">
        <v>4</v>
      </c>
      <c r="E700" s="2">
        <v>10.02</v>
      </c>
      <c r="F700" s="1" t="s">
        <v>31</v>
      </c>
      <c r="H700" s="21" t="str">
        <f t="shared" si="32"/>
        <v/>
      </c>
      <c r="I700" s="24"/>
      <c r="J700" s="3">
        <v>10.02</v>
      </c>
      <c r="K700" s="1">
        <v>107</v>
      </c>
      <c r="L700" s="4">
        <v>1072.1399999999999</v>
      </c>
    </row>
    <row r="701" spans="1:12" x14ac:dyDescent="0.3">
      <c r="A701" s="1">
        <v>2024</v>
      </c>
      <c r="B701" s="20">
        <f t="shared" si="31"/>
        <v>45535</v>
      </c>
      <c r="C701" s="1">
        <v>67</v>
      </c>
      <c r="D701" s="1" t="s">
        <v>4</v>
      </c>
      <c r="E701" s="2">
        <v>13.96</v>
      </c>
      <c r="F701" s="1" t="s">
        <v>31</v>
      </c>
      <c r="H701" s="21" t="str">
        <f t="shared" si="32"/>
        <v/>
      </c>
      <c r="I701" s="24"/>
      <c r="J701" s="3">
        <v>13.96</v>
      </c>
      <c r="K701" s="1">
        <v>107</v>
      </c>
      <c r="L701" s="4">
        <v>1493.72</v>
      </c>
    </row>
    <row r="702" spans="1:12" x14ac:dyDescent="0.3">
      <c r="A702" s="1">
        <v>2024</v>
      </c>
      <c r="B702" s="20">
        <f t="shared" si="31"/>
        <v>45535</v>
      </c>
      <c r="C702" s="1">
        <v>69</v>
      </c>
      <c r="D702" s="1" t="s">
        <v>4</v>
      </c>
      <c r="E702" s="2">
        <v>7.47</v>
      </c>
      <c r="F702" s="1" t="s">
        <v>31</v>
      </c>
      <c r="H702" s="21" t="str">
        <f t="shared" si="32"/>
        <v/>
      </c>
      <c r="I702" s="24"/>
      <c r="J702" s="3">
        <v>7.47</v>
      </c>
      <c r="K702" s="1">
        <v>107</v>
      </c>
      <c r="L702" s="4">
        <v>799.29</v>
      </c>
    </row>
    <row r="703" spans="1:12" x14ac:dyDescent="0.3">
      <c r="A703" s="1">
        <v>2024</v>
      </c>
      <c r="B703" s="20">
        <f t="shared" si="31"/>
        <v>45535</v>
      </c>
      <c r="C703" s="1">
        <v>79</v>
      </c>
      <c r="D703" s="1" t="s">
        <v>3</v>
      </c>
      <c r="E703" s="2">
        <v>24.95</v>
      </c>
      <c r="F703" s="1" t="s">
        <v>31</v>
      </c>
      <c r="H703" s="21" t="str">
        <f t="shared" si="32"/>
        <v/>
      </c>
      <c r="I703" s="24"/>
      <c r="J703" s="3">
        <v>24.95</v>
      </c>
      <c r="K703" s="1">
        <v>90</v>
      </c>
      <c r="L703" s="4">
        <v>2245.5</v>
      </c>
    </row>
    <row r="704" spans="1:12" x14ac:dyDescent="0.3">
      <c r="A704" s="1">
        <v>2024</v>
      </c>
      <c r="B704" s="20">
        <f t="shared" si="31"/>
        <v>45535</v>
      </c>
      <c r="C704" s="1">
        <v>83</v>
      </c>
      <c r="D704" s="1" t="s">
        <v>3</v>
      </c>
      <c r="E704" s="2">
        <v>8.25</v>
      </c>
      <c r="F704" s="1" t="s">
        <v>31</v>
      </c>
      <c r="H704" s="21" t="str">
        <f t="shared" si="32"/>
        <v/>
      </c>
      <c r="I704" s="24"/>
      <c r="J704" s="3">
        <v>8.25</v>
      </c>
      <c r="K704" s="1">
        <v>102</v>
      </c>
      <c r="L704" s="4">
        <v>841.5</v>
      </c>
    </row>
    <row r="705" spans="1:12" x14ac:dyDescent="0.3">
      <c r="A705" s="1">
        <v>2024</v>
      </c>
      <c r="B705" s="20">
        <f t="shared" si="31"/>
        <v>45535</v>
      </c>
      <c r="C705" s="1">
        <v>84</v>
      </c>
      <c r="D705" s="1" t="s">
        <v>3</v>
      </c>
      <c r="E705" s="2">
        <v>8.8699999999999992</v>
      </c>
      <c r="F705" s="1" t="s">
        <v>31</v>
      </c>
      <c r="H705" s="21" t="str">
        <f t="shared" si="32"/>
        <v/>
      </c>
      <c r="I705" s="24"/>
      <c r="J705" s="3">
        <v>8.8699999999999992</v>
      </c>
      <c r="K705" s="1">
        <v>102</v>
      </c>
      <c r="L705" s="4">
        <v>904.7399999999999</v>
      </c>
    </row>
    <row r="706" spans="1:12" x14ac:dyDescent="0.3">
      <c r="A706" s="1">
        <v>2024</v>
      </c>
      <c r="B706" s="20">
        <f t="shared" si="31"/>
        <v>45535</v>
      </c>
      <c r="C706" s="1">
        <v>85</v>
      </c>
      <c r="D706" s="1" t="s">
        <v>3</v>
      </c>
      <c r="E706" s="2">
        <v>3.64</v>
      </c>
      <c r="F706" s="1" t="s">
        <v>31</v>
      </c>
      <c r="H706" s="21" t="str">
        <f t="shared" si="32"/>
        <v/>
      </c>
      <c r="I706" s="24"/>
      <c r="J706" s="3">
        <v>3.64</v>
      </c>
      <c r="K706" s="1">
        <v>84</v>
      </c>
      <c r="L706" s="4">
        <v>305.76</v>
      </c>
    </row>
    <row r="707" spans="1:12" x14ac:dyDescent="0.3">
      <c r="A707" s="1">
        <v>2024</v>
      </c>
      <c r="B707" s="20">
        <f t="shared" ref="B707:B770" si="33">IF(A707="","",DATE(A707,8,31))</f>
        <v>45535</v>
      </c>
      <c r="C707" s="1">
        <v>86</v>
      </c>
      <c r="D707" s="1" t="s">
        <v>3</v>
      </c>
      <c r="E707" s="2">
        <v>3.01</v>
      </c>
      <c r="F707" s="1" t="s">
        <v>31</v>
      </c>
      <c r="H707" s="21" t="str">
        <f t="shared" ref="H707:H770" si="34">IF(OR(G707="",B707=""),"",DATEDIF(G707,B707,"m"))</f>
        <v/>
      </c>
      <c r="I707" s="24"/>
      <c r="J707" s="3">
        <v>3.01</v>
      </c>
      <c r="K707" s="1">
        <v>84</v>
      </c>
      <c r="L707" s="4">
        <v>252.83999999999997</v>
      </c>
    </row>
    <row r="708" spans="1:12" x14ac:dyDescent="0.3">
      <c r="A708" s="1">
        <v>2024</v>
      </c>
      <c r="B708" s="20">
        <f t="shared" si="33"/>
        <v>45535</v>
      </c>
      <c r="C708" s="1">
        <v>87</v>
      </c>
      <c r="D708" s="1" t="s">
        <v>3</v>
      </c>
      <c r="E708" s="2">
        <v>20.69</v>
      </c>
      <c r="F708" s="1" t="s">
        <v>31</v>
      </c>
      <c r="H708" s="21" t="str">
        <f t="shared" si="34"/>
        <v/>
      </c>
      <c r="I708" s="24"/>
      <c r="J708" s="3">
        <v>20.69</v>
      </c>
      <c r="K708" s="1">
        <v>90</v>
      </c>
      <c r="L708" s="4">
        <v>1862.1000000000001</v>
      </c>
    </row>
    <row r="709" spans="1:12" x14ac:dyDescent="0.3">
      <c r="A709" s="1">
        <v>2024</v>
      </c>
      <c r="B709" s="20">
        <f t="shared" si="33"/>
        <v>45535</v>
      </c>
      <c r="C709" s="1">
        <v>92</v>
      </c>
      <c r="D709" s="1" t="s">
        <v>23</v>
      </c>
      <c r="E709" s="2">
        <v>39.24</v>
      </c>
      <c r="F709" s="1">
        <v>1</v>
      </c>
      <c r="G709" s="20">
        <v>45231</v>
      </c>
      <c r="H709" s="21">
        <f t="shared" si="34"/>
        <v>9</v>
      </c>
      <c r="I709" s="24"/>
      <c r="J709" s="3">
        <v>17</v>
      </c>
      <c r="K709" s="1">
        <v>98</v>
      </c>
      <c r="L709" s="4">
        <v>1666</v>
      </c>
    </row>
    <row r="710" spans="1:12" x14ac:dyDescent="0.3">
      <c r="A710" s="1">
        <v>2024</v>
      </c>
      <c r="B710" s="20">
        <f t="shared" si="33"/>
        <v>45535</v>
      </c>
      <c r="C710" s="1">
        <v>93</v>
      </c>
      <c r="D710" s="1" t="s">
        <v>3</v>
      </c>
      <c r="E710" s="2">
        <v>27.53</v>
      </c>
      <c r="F710" s="1" t="s">
        <v>33</v>
      </c>
      <c r="H710" s="21" t="str">
        <f t="shared" si="34"/>
        <v/>
      </c>
      <c r="I710" s="24"/>
      <c r="J710" s="3">
        <v>27.53</v>
      </c>
      <c r="K710" s="1">
        <v>90</v>
      </c>
      <c r="L710" s="4">
        <v>2477.7000000000003</v>
      </c>
    </row>
    <row r="711" spans="1:12" x14ac:dyDescent="0.3">
      <c r="A711" s="1">
        <v>2024</v>
      </c>
      <c r="B711" s="20">
        <f t="shared" si="33"/>
        <v>45535</v>
      </c>
      <c r="C711" s="1">
        <v>94</v>
      </c>
      <c r="D711" s="1" t="s">
        <v>3</v>
      </c>
      <c r="E711" s="2">
        <v>36.92</v>
      </c>
      <c r="F711" s="1" t="s">
        <v>33</v>
      </c>
      <c r="H711" s="21" t="str">
        <f t="shared" si="34"/>
        <v/>
      </c>
      <c r="I711" s="24"/>
      <c r="J711" s="3">
        <v>36.92</v>
      </c>
      <c r="K711" s="1">
        <v>90</v>
      </c>
      <c r="L711" s="4">
        <v>3322.8</v>
      </c>
    </row>
    <row r="712" spans="1:12" x14ac:dyDescent="0.3">
      <c r="A712" s="1">
        <v>2024</v>
      </c>
      <c r="B712" s="20">
        <f t="shared" si="33"/>
        <v>45535</v>
      </c>
      <c r="C712" s="1">
        <v>95</v>
      </c>
      <c r="D712" s="1" t="s">
        <v>3</v>
      </c>
      <c r="E712" s="2">
        <v>36.9</v>
      </c>
      <c r="F712" s="1" t="s">
        <v>33</v>
      </c>
      <c r="H712" s="21" t="str">
        <f t="shared" si="34"/>
        <v/>
      </c>
      <c r="I712" s="24"/>
      <c r="J712" s="3">
        <v>36.9</v>
      </c>
      <c r="K712" s="1">
        <v>90</v>
      </c>
      <c r="L712" s="4">
        <v>3321</v>
      </c>
    </row>
    <row r="713" spans="1:12" x14ac:dyDescent="0.3">
      <c r="A713" s="1">
        <v>2024</v>
      </c>
      <c r="B713" s="20">
        <f t="shared" si="33"/>
        <v>45535</v>
      </c>
      <c r="C713" s="1">
        <v>96</v>
      </c>
      <c r="D713" s="1" t="s">
        <v>2</v>
      </c>
      <c r="E713" s="2">
        <v>12.28</v>
      </c>
      <c r="F713" s="1" t="s">
        <v>32</v>
      </c>
      <c r="H713" s="21" t="str">
        <f t="shared" si="34"/>
        <v/>
      </c>
      <c r="I713" s="24"/>
      <c r="J713" s="3">
        <v>12.28</v>
      </c>
      <c r="K713" s="1">
        <v>68</v>
      </c>
      <c r="L713" s="4">
        <v>835.04</v>
      </c>
    </row>
    <row r="714" spans="1:12" x14ac:dyDescent="0.3">
      <c r="A714" s="1">
        <v>2024</v>
      </c>
      <c r="B714" s="20">
        <f t="shared" si="33"/>
        <v>45535</v>
      </c>
      <c r="C714" s="1">
        <v>97</v>
      </c>
      <c r="D714" s="1" t="s">
        <v>5</v>
      </c>
      <c r="E714" s="2">
        <v>6.04</v>
      </c>
      <c r="F714" s="1">
        <v>1</v>
      </c>
      <c r="G714" s="20">
        <v>45292</v>
      </c>
      <c r="H714" s="21">
        <f t="shared" si="34"/>
        <v>7</v>
      </c>
      <c r="I714" s="24"/>
      <c r="J714" s="3">
        <v>0</v>
      </c>
      <c r="K714" s="1">
        <v>0</v>
      </c>
      <c r="L714" s="4">
        <v>0</v>
      </c>
    </row>
    <row r="715" spans="1:12" x14ac:dyDescent="0.3">
      <c r="A715" s="1">
        <v>2024</v>
      </c>
      <c r="B715" s="20">
        <f t="shared" si="33"/>
        <v>45535</v>
      </c>
      <c r="C715" s="1">
        <v>98</v>
      </c>
      <c r="D715" s="1" t="s">
        <v>3</v>
      </c>
      <c r="E715" s="2">
        <v>14.93</v>
      </c>
      <c r="F715" s="1" t="s">
        <v>32</v>
      </c>
      <c r="H715" s="21" t="str">
        <f t="shared" si="34"/>
        <v/>
      </c>
      <c r="I715" s="24"/>
      <c r="J715" s="3">
        <v>14.93</v>
      </c>
      <c r="K715" s="1">
        <v>72</v>
      </c>
      <c r="L715" s="4">
        <v>1074.96</v>
      </c>
    </row>
    <row r="716" spans="1:12" x14ac:dyDescent="0.3">
      <c r="A716" s="1">
        <v>2024</v>
      </c>
      <c r="B716" s="20">
        <f t="shared" si="33"/>
        <v>45535</v>
      </c>
      <c r="C716" s="1">
        <v>99</v>
      </c>
      <c r="D716" s="1" t="s">
        <v>2</v>
      </c>
      <c r="E716" s="2">
        <v>31.11</v>
      </c>
      <c r="F716" s="1" t="s">
        <v>32</v>
      </c>
      <c r="H716" s="21" t="str">
        <f t="shared" si="34"/>
        <v/>
      </c>
      <c r="I716" s="24"/>
      <c r="J716" s="3">
        <v>31.11</v>
      </c>
      <c r="K716" s="1">
        <v>54</v>
      </c>
      <c r="L716" s="4">
        <v>1679.94</v>
      </c>
    </row>
    <row r="717" spans="1:12" x14ac:dyDescent="0.3">
      <c r="A717" s="1">
        <v>2024</v>
      </c>
      <c r="B717" s="20">
        <f t="shared" si="33"/>
        <v>45535</v>
      </c>
      <c r="C717" s="1">
        <v>100</v>
      </c>
      <c r="D717" s="1" t="s">
        <v>2</v>
      </c>
      <c r="E717" s="2">
        <v>18.940000000000001</v>
      </c>
      <c r="F717" s="1" t="s">
        <v>32</v>
      </c>
      <c r="H717" s="21" t="str">
        <f t="shared" si="34"/>
        <v/>
      </c>
      <c r="I717" s="24"/>
      <c r="J717" s="3">
        <v>18.940000000000001</v>
      </c>
      <c r="K717" s="1">
        <v>79</v>
      </c>
      <c r="L717" s="4">
        <v>1496.26</v>
      </c>
    </row>
    <row r="718" spans="1:12" x14ac:dyDescent="0.3">
      <c r="A718" s="1">
        <v>2024</v>
      </c>
      <c r="B718" s="20">
        <f t="shared" si="33"/>
        <v>45535</v>
      </c>
      <c r="C718" s="1">
        <v>101</v>
      </c>
      <c r="D718" s="1" t="s">
        <v>2</v>
      </c>
      <c r="E718" s="2">
        <v>24.85</v>
      </c>
      <c r="F718" s="1" t="s">
        <v>32</v>
      </c>
      <c r="H718" s="21" t="str">
        <f t="shared" si="34"/>
        <v/>
      </c>
      <c r="I718" s="24"/>
      <c r="J718" s="3">
        <v>24.85</v>
      </c>
      <c r="K718" s="1">
        <v>54</v>
      </c>
      <c r="L718" s="4">
        <v>1341.9</v>
      </c>
    </row>
    <row r="719" spans="1:12" x14ac:dyDescent="0.3">
      <c r="A719" s="1">
        <v>2024</v>
      </c>
      <c r="B719" s="20">
        <f t="shared" si="33"/>
        <v>45535</v>
      </c>
      <c r="C719" s="1">
        <v>102</v>
      </c>
      <c r="D719" s="1" t="s">
        <v>3</v>
      </c>
      <c r="E719" s="2">
        <v>26.5</v>
      </c>
      <c r="F719" s="1" t="s">
        <v>32</v>
      </c>
      <c r="H719" s="21" t="str">
        <f t="shared" si="34"/>
        <v/>
      </c>
      <c r="I719" s="24"/>
      <c r="J719" s="3">
        <v>26.5</v>
      </c>
      <c r="K719" s="1">
        <v>78</v>
      </c>
      <c r="L719" s="4">
        <v>2067</v>
      </c>
    </row>
    <row r="720" spans="1:12" x14ac:dyDescent="0.3">
      <c r="A720" s="1">
        <v>2024</v>
      </c>
      <c r="B720" s="20">
        <f t="shared" si="33"/>
        <v>45535</v>
      </c>
      <c r="C720" s="1">
        <v>103</v>
      </c>
      <c r="D720" s="1" t="s">
        <v>2</v>
      </c>
      <c r="E720" s="2">
        <v>12.04</v>
      </c>
      <c r="F720" s="1" t="s">
        <v>32</v>
      </c>
      <c r="H720" s="21" t="str">
        <f t="shared" si="34"/>
        <v/>
      </c>
      <c r="I720" s="24"/>
      <c r="J720" s="3">
        <v>12.04</v>
      </c>
      <c r="K720" s="1">
        <v>68</v>
      </c>
      <c r="L720" s="4">
        <v>818.71999999999991</v>
      </c>
    </row>
    <row r="721" spans="1:12" x14ac:dyDescent="0.3">
      <c r="A721" s="1">
        <v>2024</v>
      </c>
      <c r="B721" s="20">
        <f t="shared" si="33"/>
        <v>45535</v>
      </c>
      <c r="C721" s="1">
        <v>104</v>
      </c>
      <c r="D721" s="1" t="s">
        <v>3</v>
      </c>
      <c r="E721" s="2">
        <v>19.32</v>
      </c>
      <c r="F721" s="1" t="s">
        <v>32</v>
      </c>
      <c r="H721" s="21" t="str">
        <f t="shared" si="34"/>
        <v/>
      </c>
      <c r="I721" s="24"/>
      <c r="J721" s="3">
        <v>19.32</v>
      </c>
      <c r="K721" s="1">
        <v>68</v>
      </c>
      <c r="L721" s="4">
        <v>1313.76</v>
      </c>
    </row>
    <row r="722" spans="1:12" x14ac:dyDescent="0.3">
      <c r="A722" s="1">
        <v>2024</v>
      </c>
      <c r="B722" s="20">
        <f t="shared" si="33"/>
        <v>45535</v>
      </c>
      <c r="C722" s="1">
        <v>105</v>
      </c>
      <c r="D722" s="1" t="s">
        <v>3</v>
      </c>
      <c r="E722" s="2">
        <v>38.369999999999997</v>
      </c>
      <c r="F722" s="1" t="s">
        <v>31</v>
      </c>
      <c r="H722" s="21" t="str">
        <f t="shared" si="34"/>
        <v/>
      </c>
      <c r="I722" s="24"/>
      <c r="J722" s="3">
        <v>38.369999999999997</v>
      </c>
      <c r="K722" s="1">
        <v>94</v>
      </c>
      <c r="L722" s="4">
        <v>3606.7799999999997</v>
      </c>
    </row>
    <row r="723" spans="1:12" x14ac:dyDescent="0.3">
      <c r="A723" s="1">
        <v>2024</v>
      </c>
      <c r="B723" s="20">
        <f t="shared" si="33"/>
        <v>45535</v>
      </c>
      <c r="C723" s="1">
        <v>106</v>
      </c>
      <c r="D723" s="1" t="s">
        <v>4</v>
      </c>
      <c r="E723" s="2">
        <v>11.54</v>
      </c>
      <c r="F723" s="1" t="s">
        <v>32</v>
      </c>
      <c r="H723" s="21" t="str">
        <f t="shared" si="34"/>
        <v/>
      </c>
      <c r="I723" s="24"/>
      <c r="J723" s="3">
        <v>11.54</v>
      </c>
      <c r="K723" s="1">
        <v>75</v>
      </c>
      <c r="L723" s="4">
        <v>865.49999999999989</v>
      </c>
    </row>
    <row r="724" spans="1:12" x14ac:dyDescent="0.3">
      <c r="A724" s="1">
        <v>2024</v>
      </c>
      <c r="B724" s="20">
        <f t="shared" si="33"/>
        <v>45535</v>
      </c>
      <c r="C724" s="1">
        <v>108</v>
      </c>
      <c r="D724" s="1" t="s">
        <v>4</v>
      </c>
      <c r="E724" s="2">
        <v>13.48</v>
      </c>
      <c r="F724" s="1" t="s">
        <v>31</v>
      </c>
      <c r="H724" s="21" t="str">
        <f t="shared" si="34"/>
        <v/>
      </c>
      <c r="I724" s="24"/>
      <c r="J724" s="3">
        <v>13.48</v>
      </c>
      <c r="K724" s="1">
        <v>135.6</v>
      </c>
      <c r="L724" s="4">
        <v>1827.8879999999999</v>
      </c>
    </row>
    <row r="725" spans="1:12" x14ac:dyDescent="0.3">
      <c r="A725" s="1">
        <v>2024</v>
      </c>
      <c r="B725" s="20">
        <f t="shared" si="33"/>
        <v>45535</v>
      </c>
      <c r="C725" s="1">
        <v>109</v>
      </c>
      <c r="D725" s="1" t="s">
        <v>4</v>
      </c>
      <c r="E725" s="2">
        <v>45.7</v>
      </c>
      <c r="F725" s="1">
        <v>1.5</v>
      </c>
      <c r="G725" s="20">
        <v>44927</v>
      </c>
      <c r="H725" s="21">
        <f t="shared" si="34"/>
        <v>19</v>
      </c>
      <c r="I725" s="24"/>
      <c r="J725" s="3">
        <v>45.7</v>
      </c>
      <c r="K725" s="1">
        <v>150.4</v>
      </c>
      <c r="L725" s="4">
        <v>5625</v>
      </c>
    </row>
    <row r="726" spans="1:12" x14ac:dyDescent="0.3">
      <c r="A726" s="1">
        <v>2025</v>
      </c>
      <c r="B726" s="20">
        <f t="shared" si="33"/>
        <v>45900</v>
      </c>
      <c r="C726" s="1">
        <v>97</v>
      </c>
      <c r="D726" s="1" t="s">
        <v>5</v>
      </c>
      <c r="E726" s="1">
        <v>6.47</v>
      </c>
      <c r="F726" s="1">
        <v>2</v>
      </c>
      <c r="G726" s="20"/>
      <c r="H726" s="21" t="str">
        <f t="shared" si="34"/>
        <v/>
      </c>
      <c r="I726" s="24"/>
      <c r="J726" s="1">
        <v>6.47</v>
      </c>
      <c r="K726" s="1">
        <v>67.42</v>
      </c>
      <c r="L726" s="1">
        <v>436.21</v>
      </c>
    </row>
    <row r="727" spans="1:12" x14ac:dyDescent="0.3">
      <c r="A727" s="1">
        <v>2026</v>
      </c>
      <c r="B727" s="20">
        <f t="shared" si="33"/>
        <v>46265</v>
      </c>
      <c r="C727" s="10">
        <v>1</v>
      </c>
      <c r="D727" s="1" t="s">
        <v>2</v>
      </c>
      <c r="E727" s="10">
        <v>16.46</v>
      </c>
      <c r="F727" s="10">
        <v>4</v>
      </c>
      <c r="G727" s="10"/>
      <c r="H727" s="22" t="str">
        <f t="shared" si="34"/>
        <v/>
      </c>
      <c r="I727" s="24"/>
      <c r="J727" s="10">
        <v>16.46</v>
      </c>
      <c r="K727" s="1">
        <v>74.489999999999995</v>
      </c>
      <c r="L727" s="1">
        <f>K727*J727</f>
        <v>1226.1053999999999</v>
      </c>
    </row>
    <row r="728" spans="1:12" x14ac:dyDescent="0.3">
      <c r="A728" s="1">
        <v>2026</v>
      </c>
      <c r="B728" s="20">
        <f t="shared" si="33"/>
        <v>46265</v>
      </c>
      <c r="C728" s="1">
        <v>2</v>
      </c>
      <c r="D728" s="1" t="s">
        <v>2</v>
      </c>
      <c r="E728" s="10">
        <v>21.96</v>
      </c>
      <c r="F728" s="10">
        <v>4</v>
      </c>
      <c r="G728" s="10"/>
      <c r="H728" s="22" t="str">
        <f t="shared" si="34"/>
        <v/>
      </c>
      <c r="I728" s="24"/>
      <c r="J728" s="10">
        <v>21.96</v>
      </c>
      <c r="K728" s="1">
        <v>74.489999999999995</v>
      </c>
      <c r="L728" s="1">
        <f t="shared" ref="L728:L788" si="35">K728*J728</f>
        <v>1635.8003999999999</v>
      </c>
    </row>
    <row r="729" spans="1:12" x14ac:dyDescent="0.3">
      <c r="A729" s="1">
        <v>2026</v>
      </c>
      <c r="B729" s="20">
        <f t="shared" si="33"/>
        <v>46265</v>
      </c>
      <c r="C729" s="10">
        <v>3</v>
      </c>
      <c r="D729" s="1" t="s">
        <v>3</v>
      </c>
      <c r="E729" s="10">
        <v>20.67</v>
      </c>
      <c r="F729" s="10">
        <v>6</v>
      </c>
      <c r="G729" s="10"/>
      <c r="H729" s="22" t="str">
        <f t="shared" si="34"/>
        <v/>
      </c>
      <c r="I729" s="24"/>
      <c r="J729" s="10">
        <v>20.67</v>
      </c>
      <c r="K729" s="1">
        <v>78.58</v>
      </c>
      <c r="L729" s="1">
        <f t="shared" si="35"/>
        <v>1624.2486000000001</v>
      </c>
    </row>
    <row r="730" spans="1:12" x14ac:dyDescent="0.3">
      <c r="A730" s="1">
        <v>2026</v>
      </c>
      <c r="B730" s="20">
        <f t="shared" si="33"/>
        <v>46265</v>
      </c>
      <c r="C730" s="10">
        <v>5</v>
      </c>
      <c r="D730" s="1" t="s">
        <v>23</v>
      </c>
      <c r="E730" s="10">
        <v>43.99</v>
      </c>
      <c r="F730" s="10">
        <v>5</v>
      </c>
      <c r="G730" s="10"/>
      <c r="H730" s="22" t="str">
        <f t="shared" si="34"/>
        <v/>
      </c>
      <c r="I730" s="24"/>
      <c r="J730" s="10">
        <v>43.99</v>
      </c>
      <c r="K730" s="1">
        <v>77.14</v>
      </c>
      <c r="L730" s="1">
        <f t="shared" si="35"/>
        <v>3393.3886000000002</v>
      </c>
    </row>
    <row r="731" spans="1:12" x14ac:dyDescent="0.3">
      <c r="A731" s="1">
        <v>2026</v>
      </c>
      <c r="B731" s="20">
        <f t="shared" si="33"/>
        <v>46265</v>
      </c>
      <c r="C731" s="1">
        <v>8</v>
      </c>
      <c r="D731" s="1" t="s">
        <v>23</v>
      </c>
      <c r="E731" s="10">
        <v>10.01</v>
      </c>
      <c r="F731" s="10">
        <v>1</v>
      </c>
      <c r="G731" s="19">
        <v>45992</v>
      </c>
      <c r="H731" s="22">
        <f t="shared" si="34"/>
        <v>8</v>
      </c>
      <c r="I731" s="24"/>
      <c r="J731" s="10">
        <v>10.01</v>
      </c>
      <c r="K731" s="1">
        <v>77.31</v>
      </c>
      <c r="L731" s="1">
        <f t="shared" si="35"/>
        <v>773.87310000000002</v>
      </c>
    </row>
    <row r="732" spans="1:12" x14ac:dyDescent="0.3">
      <c r="A732" s="1">
        <v>2026</v>
      </c>
      <c r="B732" s="20">
        <f t="shared" si="33"/>
        <v>46265</v>
      </c>
      <c r="C732" s="1">
        <v>10</v>
      </c>
      <c r="D732" s="1" t="s">
        <v>3</v>
      </c>
      <c r="E732" s="10">
        <v>6.54</v>
      </c>
      <c r="F732" s="10">
        <v>5</v>
      </c>
      <c r="G732" s="10"/>
      <c r="H732" s="22" t="str">
        <f t="shared" si="34"/>
        <v/>
      </c>
      <c r="I732" s="24"/>
      <c r="J732" s="10">
        <v>6.54</v>
      </c>
      <c r="K732" s="1">
        <v>77.14</v>
      </c>
      <c r="L732" s="1">
        <f t="shared" si="35"/>
        <v>504.49560000000002</v>
      </c>
    </row>
    <row r="733" spans="1:12" x14ac:dyDescent="0.3">
      <c r="A733" s="1">
        <v>2026</v>
      </c>
      <c r="B733" s="20">
        <f t="shared" si="33"/>
        <v>46265</v>
      </c>
      <c r="C733" s="1">
        <v>12</v>
      </c>
      <c r="D733" s="1" t="s">
        <v>3</v>
      </c>
      <c r="E733" s="10">
        <v>4.91</v>
      </c>
      <c r="F733" s="10">
        <v>5</v>
      </c>
      <c r="G733" s="10"/>
      <c r="H733" s="22" t="str">
        <f t="shared" si="34"/>
        <v/>
      </c>
      <c r="I733" s="24"/>
      <c r="J733" s="10">
        <v>4.91</v>
      </c>
      <c r="K733" s="1">
        <v>77.14</v>
      </c>
      <c r="L733" s="1">
        <f t="shared" si="35"/>
        <v>378.75740000000002</v>
      </c>
    </row>
    <row r="734" spans="1:12" x14ac:dyDescent="0.3">
      <c r="A734" s="1">
        <v>2026</v>
      </c>
      <c r="B734" s="20">
        <f t="shared" si="33"/>
        <v>46265</v>
      </c>
      <c r="C734" s="1">
        <v>14</v>
      </c>
      <c r="D734" s="1" t="s">
        <v>3</v>
      </c>
      <c r="E734" s="10">
        <v>7.22</v>
      </c>
      <c r="F734" s="10">
        <v>5</v>
      </c>
      <c r="G734" s="10"/>
      <c r="H734" s="22" t="str">
        <f t="shared" si="34"/>
        <v/>
      </c>
      <c r="I734" s="24"/>
      <c r="J734" s="10">
        <v>7.22</v>
      </c>
      <c r="K734" s="1">
        <v>77.14</v>
      </c>
      <c r="L734" s="1">
        <f t="shared" si="35"/>
        <v>556.95079999999996</v>
      </c>
    </row>
    <row r="735" spans="1:12" x14ac:dyDescent="0.3">
      <c r="A735" s="1">
        <v>2026</v>
      </c>
      <c r="B735" s="20">
        <f t="shared" si="33"/>
        <v>46265</v>
      </c>
      <c r="C735" s="1">
        <v>15</v>
      </c>
      <c r="D735" s="1" t="s">
        <v>4</v>
      </c>
      <c r="E735" s="10">
        <v>12.58</v>
      </c>
      <c r="F735" s="10">
        <v>3</v>
      </c>
      <c r="G735" s="10"/>
      <c r="H735" s="22" t="str">
        <f t="shared" si="34"/>
        <v/>
      </c>
      <c r="I735" s="24"/>
      <c r="J735" s="10">
        <v>12.58</v>
      </c>
      <c r="K735" s="1">
        <v>88.13</v>
      </c>
      <c r="L735" s="1">
        <f t="shared" si="35"/>
        <v>1108.6753999999999</v>
      </c>
    </row>
    <row r="736" spans="1:12" x14ac:dyDescent="0.3">
      <c r="A736" s="1">
        <v>2026</v>
      </c>
      <c r="B736" s="20">
        <f t="shared" si="33"/>
        <v>46265</v>
      </c>
      <c r="C736" s="1">
        <v>16</v>
      </c>
      <c r="D736" s="1" t="s">
        <v>3</v>
      </c>
      <c r="E736" s="10">
        <v>10.25</v>
      </c>
      <c r="F736" s="10">
        <v>5</v>
      </c>
      <c r="G736" s="10"/>
      <c r="H736" s="22" t="str">
        <f t="shared" si="34"/>
        <v/>
      </c>
      <c r="I736" s="24"/>
      <c r="J736" s="10">
        <v>10.25</v>
      </c>
      <c r="K736" s="1">
        <v>77.14</v>
      </c>
      <c r="L736" s="1">
        <f t="shared" si="35"/>
        <v>790.68500000000006</v>
      </c>
    </row>
    <row r="737" spans="1:12" x14ac:dyDescent="0.3">
      <c r="A737" s="1">
        <v>2026</v>
      </c>
      <c r="B737" s="20">
        <f t="shared" si="33"/>
        <v>46265</v>
      </c>
      <c r="C737" s="1">
        <v>17</v>
      </c>
      <c r="D737" s="1" t="s">
        <v>3</v>
      </c>
      <c r="E737" s="10">
        <v>9.6300000000000008</v>
      </c>
      <c r="F737" s="10">
        <v>5</v>
      </c>
      <c r="G737" s="10"/>
      <c r="H737" s="22" t="str">
        <f t="shared" si="34"/>
        <v/>
      </c>
      <c r="I737" s="24"/>
      <c r="J737" s="10">
        <v>9.6300000000000008</v>
      </c>
      <c r="K737" s="1">
        <v>77.14</v>
      </c>
      <c r="L737" s="1">
        <f t="shared" si="35"/>
        <v>742.85820000000001</v>
      </c>
    </row>
    <row r="738" spans="1:12" x14ac:dyDescent="0.3">
      <c r="A738" s="1">
        <v>2026</v>
      </c>
      <c r="B738" s="20">
        <f t="shared" si="33"/>
        <v>46265</v>
      </c>
      <c r="C738" s="1">
        <v>18</v>
      </c>
      <c r="D738" s="1" t="s">
        <v>4</v>
      </c>
      <c r="E738" s="10">
        <v>4.25</v>
      </c>
      <c r="F738" s="10">
        <v>4</v>
      </c>
      <c r="G738" s="10"/>
      <c r="H738" s="22" t="str">
        <f t="shared" si="34"/>
        <v/>
      </c>
      <c r="I738" s="24"/>
      <c r="J738" s="10">
        <v>4.25</v>
      </c>
      <c r="K738" s="1">
        <v>74.489999999999995</v>
      </c>
      <c r="L738" s="1">
        <f t="shared" si="35"/>
        <v>316.58249999999998</v>
      </c>
    </row>
    <row r="739" spans="1:12" x14ac:dyDescent="0.3">
      <c r="A739" s="1">
        <v>2026</v>
      </c>
      <c r="B739" s="20">
        <f t="shared" si="33"/>
        <v>46265</v>
      </c>
      <c r="C739" s="1">
        <v>19</v>
      </c>
      <c r="D739" s="1" t="s">
        <v>4</v>
      </c>
      <c r="E739" s="10">
        <v>13</v>
      </c>
      <c r="F739" s="10">
        <v>4</v>
      </c>
      <c r="G739" s="10"/>
      <c r="H739" s="22" t="str">
        <f t="shared" si="34"/>
        <v/>
      </c>
      <c r="I739" s="24"/>
      <c r="J739" s="10">
        <v>13</v>
      </c>
      <c r="K739" s="1">
        <v>74.489999999999995</v>
      </c>
      <c r="L739" s="1">
        <f t="shared" si="35"/>
        <v>968.36999999999989</v>
      </c>
    </row>
    <row r="740" spans="1:12" x14ac:dyDescent="0.3">
      <c r="A740" s="1">
        <v>2026</v>
      </c>
      <c r="B740" s="20">
        <f t="shared" si="33"/>
        <v>46265</v>
      </c>
      <c r="C740" s="1">
        <v>20</v>
      </c>
      <c r="D740" s="1" t="s">
        <v>3</v>
      </c>
      <c r="E740" s="10">
        <v>5.08</v>
      </c>
      <c r="F740" s="10">
        <v>5</v>
      </c>
      <c r="G740" s="20">
        <v>44562</v>
      </c>
      <c r="H740" s="22">
        <f t="shared" si="34"/>
        <v>55</v>
      </c>
      <c r="I740" s="24">
        <f>H740/12</f>
        <v>4.583333333333333</v>
      </c>
      <c r="J740" s="10">
        <v>5.08</v>
      </c>
      <c r="K740" s="1">
        <v>77.14</v>
      </c>
      <c r="L740" s="1">
        <f t="shared" si="35"/>
        <v>391.87119999999999</v>
      </c>
    </row>
    <row r="741" spans="1:12" x14ac:dyDescent="0.3">
      <c r="A741" s="1">
        <v>2026</v>
      </c>
      <c r="B741" s="20">
        <f t="shared" si="33"/>
        <v>46265</v>
      </c>
      <c r="C741" s="1">
        <v>21</v>
      </c>
      <c r="D741" s="1" t="s">
        <v>3</v>
      </c>
      <c r="E741" s="10">
        <v>12.92</v>
      </c>
      <c r="F741" s="10">
        <v>5</v>
      </c>
      <c r="G741" s="10"/>
      <c r="H741" s="22" t="str">
        <f t="shared" si="34"/>
        <v/>
      </c>
      <c r="I741" s="22"/>
      <c r="J741" s="10">
        <v>12.92</v>
      </c>
      <c r="K741" s="1">
        <v>77.14</v>
      </c>
      <c r="L741" s="1">
        <f t="shared" si="35"/>
        <v>996.64880000000005</v>
      </c>
    </row>
    <row r="742" spans="1:12" x14ac:dyDescent="0.3">
      <c r="A742" s="1">
        <v>2026</v>
      </c>
      <c r="B742" s="20">
        <f t="shared" si="33"/>
        <v>46265</v>
      </c>
      <c r="C742" s="1">
        <v>22</v>
      </c>
      <c r="D742" s="1" t="s">
        <v>4</v>
      </c>
      <c r="E742" s="10">
        <v>19.760000000000002</v>
      </c>
      <c r="F742" s="10">
        <v>4</v>
      </c>
      <c r="G742" s="10"/>
      <c r="H742" s="22" t="str">
        <f t="shared" si="34"/>
        <v/>
      </c>
      <c r="I742" s="22"/>
      <c r="J742" s="10">
        <v>19.760000000000002</v>
      </c>
      <c r="K742" s="1">
        <v>74.489999999999995</v>
      </c>
      <c r="L742" s="1">
        <f t="shared" si="35"/>
        <v>1471.9223999999999</v>
      </c>
    </row>
    <row r="743" spans="1:12" x14ac:dyDescent="0.3">
      <c r="A743" s="1">
        <v>2026</v>
      </c>
      <c r="B743" s="20">
        <f t="shared" si="33"/>
        <v>46265</v>
      </c>
      <c r="C743" s="1">
        <v>23</v>
      </c>
      <c r="D743" s="1" t="s">
        <v>5</v>
      </c>
      <c r="E743" s="10">
        <v>8.61</v>
      </c>
      <c r="F743" s="10">
        <v>2</v>
      </c>
      <c r="G743" s="10"/>
      <c r="H743" s="22" t="str">
        <f t="shared" si="34"/>
        <v/>
      </c>
      <c r="I743" s="22"/>
      <c r="J743" s="10">
        <v>8.61</v>
      </c>
      <c r="K743" s="1">
        <v>0</v>
      </c>
      <c r="L743" s="1">
        <f t="shared" si="35"/>
        <v>0</v>
      </c>
    </row>
    <row r="744" spans="1:12" x14ac:dyDescent="0.3">
      <c r="A744" s="1">
        <v>2026</v>
      </c>
      <c r="B744" s="20">
        <f t="shared" si="33"/>
        <v>46265</v>
      </c>
      <c r="C744" s="1">
        <v>24</v>
      </c>
      <c r="D744" s="1" t="s">
        <v>2</v>
      </c>
      <c r="E744" s="10">
        <v>12.12</v>
      </c>
      <c r="F744" s="10">
        <v>4</v>
      </c>
      <c r="G744" s="10"/>
      <c r="H744" s="22" t="str">
        <f t="shared" si="34"/>
        <v/>
      </c>
      <c r="I744" s="22"/>
      <c r="J744" s="10">
        <v>12.12</v>
      </c>
      <c r="K744" s="1">
        <v>74.489999999999995</v>
      </c>
      <c r="L744" s="1">
        <f t="shared" si="35"/>
        <v>902.8187999999999</v>
      </c>
    </row>
    <row r="745" spans="1:12" x14ac:dyDescent="0.3">
      <c r="A745" s="1">
        <v>2026</v>
      </c>
      <c r="B745" s="20">
        <f t="shared" si="33"/>
        <v>46265</v>
      </c>
      <c r="C745" s="1">
        <v>25</v>
      </c>
      <c r="D745" s="1" t="s">
        <v>4</v>
      </c>
      <c r="E745" s="1">
        <v>11.43</v>
      </c>
      <c r="F745" s="10">
        <v>4</v>
      </c>
      <c r="G745" s="10"/>
      <c r="H745" s="22" t="str">
        <f t="shared" si="34"/>
        <v/>
      </c>
      <c r="I745" s="22"/>
      <c r="J745" s="1">
        <v>11.43</v>
      </c>
      <c r="K745" s="1">
        <v>74.489999999999995</v>
      </c>
      <c r="L745" s="1">
        <f t="shared" si="35"/>
        <v>851.4206999999999</v>
      </c>
    </row>
    <row r="746" spans="1:12" x14ac:dyDescent="0.3">
      <c r="A746" s="1">
        <v>2026</v>
      </c>
      <c r="B746" s="20">
        <f t="shared" si="33"/>
        <v>46265</v>
      </c>
      <c r="C746" s="1">
        <v>26</v>
      </c>
      <c r="D746" s="1" t="s">
        <v>4</v>
      </c>
      <c r="E746" s="10">
        <v>19</v>
      </c>
      <c r="F746" s="10">
        <v>4</v>
      </c>
      <c r="G746" s="10"/>
      <c r="H746" s="22" t="str">
        <f t="shared" si="34"/>
        <v/>
      </c>
      <c r="I746" s="22"/>
      <c r="J746" s="10">
        <v>19</v>
      </c>
      <c r="K746" s="1">
        <v>74.489999999999995</v>
      </c>
      <c r="L746" s="1">
        <f t="shared" si="35"/>
        <v>1415.31</v>
      </c>
    </row>
    <row r="747" spans="1:12" x14ac:dyDescent="0.3">
      <c r="A747" s="1">
        <v>2026</v>
      </c>
      <c r="B747" s="20">
        <f t="shared" si="33"/>
        <v>46265</v>
      </c>
      <c r="C747" s="1">
        <v>27</v>
      </c>
      <c r="D747" s="1" t="s">
        <v>5</v>
      </c>
      <c r="E747" s="10">
        <v>28</v>
      </c>
      <c r="F747" s="10">
        <v>4</v>
      </c>
      <c r="G747" s="10"/>
      <c r="H747" s="22" t="str">
        <f t="shared" si="34"/>
        <v/>
      </c>
      <c r="I747" s="22"/>
      <c r="J747" s="10">
        <v>28</v>
      </c>
      <c r="K747" s="1">
        <v>74.489999999999995</v>
      </c>
      <c r="L747" s="1">
        <f t="shared" si="35"/>
        <v>2085.7199999999998</v>
      </c>
    </row>
    <row r="748" spans="1:12" x14ac:dyDescent="0.3">
      <c r="A748" s="1">
        <v>2026</v>
      </c>
      <c r="B748" s="20">
        <f t="shared" si="33"/>
        <v>46265</v>
      </c>
      <c r="C748" s="1">
        <v>28</v>
      </c>
      <c r="D748" s="1" t="s">
        <v>5</v>
      </c>
      <c r="E748" s="10">
        <v>33.369999999999997</v>
      </c>
      <c r="F748" s="10">
        <v>4</v>
      </c>
      <c r="G748" s="10"/>
      <c r="H748" s="22" t="str">
        <f t="shared" si="34"/>
        <v/>
      </c>
      <c r="I748" s="22"/>
      <c r="J748" s="10">
        <v>33.369999999999997</v>
      </c>
      <c r="K748" s="1">
        <v>74.489999999999995</v>
      </c>
      <c r="L748" s="1">
        <f t="shared" si="35"/>
        <v>2485.7312999999995</v>
      </c>
    </row>
    <row r="749" spans="1:12" x14ac:dyDescent="0.3">
      <c r="A749" s="1">
        <v>2026</v>
      </c>
      <c r="B749" s="20">
        <f t="shared" si="33"/>
        <v>46265</v>
      </c>
      <c r="C749" s="1">
        <v>29</v>
      </c>
      <c r="D749" s="1" t="s">
        <v>55</v>
      </c>
      <c r="E749" s="10">
        <v>39.880000000000003</v>
      </c>
      <c r="F749" s="10">
        <v>1</v>
      </c>
      <c r="G749" s="19">
        <v>45962</v>
      </c>
      <c r="H749" s="22">
        <f t="shared" si="34"/>
        <v>9</v>
      </c>
      <c r="I749" s="22"/>
      <c r="J749" s="10">
        <v>39.880000000000003</v>
      </c>
      <c r="K749" s="1">
        <v>77.31</v>
      </c>
      <c r="L749" s="1">
        <f t="shared" si="35"/>
        <v>3083.1228000000001</v>
      </c>
    </row>
    <row r="750" spans="1:12" x14ac:dyDescent="0.3">
      <c r="A750" s="1">
        <v>2026</v>
      </c>
      <c r="B750" s="20">
        <f t="shared" si="33"/>
        <v>46265</v>
      </c>
      <c r="C750" s="1">
        <v>30</v>
      </c>
      <c r="D750" s="1" t="s">
        <v>3</v>
      </c>
      <c r="E750" s="10">
        <v>34.229999999999997</v>
      </c>
      <c r="F750" s="10">
        <v>5</v>
      </c>
      <c r="G750" s="10"/>
      <c r="H750" s="22" t="str">
        <f t="shared" si="34"/>
        <v/>
      </c>
      <c r="I750" s="22"/>
      <c r="J750" s="10">
        <v>34.229999999999997</v>
      </c>
      <c r="K750" s="1">
        <v>77.14</v>
      </c>
      <c r="L750" s="1">
        <f t="shared" si="35"/>
        <v>2640.5021999999999</v>
      </c>
    </row>
    <row r="751" spans="1:12" x14ac:dyDescent="0.3">
      <c r="A751" s="1">
        <v>2026</v>
      </c>
      <c r="B751" s="20">
        <f t="shared" si="33"/>
        <v>46265</v>
      </c>
      <c r="C751" s="1">
        <v>31</v>
      </c>
      <c r="D751" s="1" t="s">
        <v>5</v>
      </c>
      <c r="E751" s="10">
        <v>16.71</v>
      </c>
      <c r="F751" s="10">
        <v>1</v>
      </c>
      <c r="G751" s="19">
        <v>45992</v>
      </c>
      <c r="H751" s="22">
        <f t="shared" si="34"/>
        <v>8</v>
      </c>
      <c r="I751" s="22"/>
      <c r="J751" s="10">
        <v>16.71</v>
      </c>
      <c r="K751" s="1">
        <v>77.31</v>
      </c>
      <c r="L751" s="1">
        <f t="shared" si="35"/>
        <v>1291.8501000000001</v>
      </c>
    </row>
    <row r="752" spans="1:12" x14ac:dyDescent="0.3">
      <c r="A752" s="1">
        <v>2026</v>
      </c>
      <c r="B752" s="20">
        <f t="shared" si="33"/>
        <v>46265</v>
      </c>
      <c r="C752" s="1">
        <v>32</v>
      </c>
      <c r="D752" s="1" t="s">
        <v>56</v>
      </c>
      <c r="E752" s="10">
        <v>12.04</v>
      </c>
      <c r="F752" s="10">
        <v>1</v>
      </c>
      <c r="G752" s="19">
        <v>46023</v>
      </c>
      <c r="H752" s="22">
        <f t="shared" si="34"/>
        <v>7</v>
      </c>
      <c r="I752" s="22"/>
      <c r="J752" s="10">
        <v>12.04</v>
      </c>
      <c r="K752" s="1">
        <v>77.31</v>
      </c>
      <c r="L752" s="1">
        <f t="shared" si="35"/>
        <v>930.81239999999991</v>
      </c>
    </row>
    <row r="753" spans="1:12" x14ac:dyDescent="0.3">
      <c r="A753" s="1">
        <v>2026</v>
      </c>
      <c r="B753" s="20">
        <f t="shared" si="33"/>
        <v>46265</v>
      </c>
      <c r="C753" s="1">
        <v>33</v>
      </c>
      <c r="D753" s="1" t="s">
        <v>5</v>
      </c>
      <c r="E753" s="10">
        <v>8.81</v>
      </c>
      <c r="F753" s="10">
        <v>4</v>
      </c>
      <c r="G753" s="10"/>
      <c r="H753" s="22" t="str">
        <f t="shared" si="34"/>
        <v/>
      </c>
      <c r="I753" s="22"/>
      <c r="J753" s="10">
        <v>8.81</v>
      </c>
      <c r="K753" s="1">
        <v>74.489999999999995</v>
      </c>
      <c r="L753" s="1">
        <f t="shared" si="35"/>
        <v>656.25689999999997</v>
      </c>
    </row>
    <row r="754" spans="1:12" x14ac:dyDescent="0.3">
      <c r="A754" s="1">
        <v>2026</v>
      </c>
      <c r="B754" s="20">
        <f t="shared" si="33"/>
        <v>46265</v>
      </c>
      <c r="C754" s="1">
        <v>52</v>
      </c>
      <c r="D754" s="1" t="s">
        <v>23</v>
      </c>
      <c r="E754" s="10">
        <v>13.63</v>
      </c>
      <c r="F754" s="10">
        <v>2</v>
      </c>
      <c r="G754" s="10"/>
      <c r="H754" s="22" t="str">
        <f t="shared" si="34"/>
        <v/>
      </c>
      <c r="I754" s="22"/>
      <c r="J754" s="10">
        <v>13.63</v>
      </c>
      <c r="K754" s="1">
        <v>101.3</v>
      </c>
      <c r="L754" s="1">
        <f t="shared" si="35"/>
        <v>1380.7190000000001</v>
      </c>
    </row>
    <row r="755" spans="1:12" x14ac:dyDescent="0.3">
      <c r="A755" s="1">
        <v>2026</v>
      </c>
      <c r="B755" s="20">
        <f t="shared" si="33"/>
        <v>46265</v>
      </c>
      <c r="C755" s="1">
        <v>53</v>
      </c>
      <c r="D755" s="1" t="s">
        <v>4</v>
      </c>
      <c r="E755" s="10">
        <v>22.19</v>
      </c>
      <c r="F755" s="10">
        <v>3</v>
      </c>
      <c r="G755" s="10"/>
      <c r="H755" s="22" t="str">
        <f t="shared" si="34"/>
        <v/>
      </c>
      <c r="I755" s="22"/>
      <c r="J755" s="10">
        <v>22.19</v>
      </c>
      <c r="K755" s="1">
        <v>88.13</v>
      </c>
      <c r="L755" s="1">
        <f t="shared" si="35"/>
        <v>1955.6047000000001</v>
      </c>
    </row>
    <row r="756" spans="1:12" x14ac:dyDescent="0.3">
      <c r="A756" s="1">
        <v>2026</v>
      </c>
      <c r="B756" s="20">
        <f t="shared" si="33"/>
        <v>46265</v>
      </c>
      <c r="C756" s="1">
        <v>54</v>
      </c>
      <c r="D756" s="1" t="s">
        <v>4</v>
      </c>
      <c r="E756" s="10">
        <v>14.75</v>
      </c>
      <c r="F756" s="10">
        <v>2</v>
      </c>
      <c r="G756" s="10"/>
      <c r="H756" s="22" t="str">
        <f t="shared" si="34"/>
        <v/>
      </c>
      <c r="I756" s="22"/>
      <c r="J756" s="10">
        <v>14.75</v>
      </c>
      <c r="K756" s="1">
        <v>101.3</v>
      </c>
      <c r="L756" s="1">
        <f t="shared" si="35"/>
        <v>1494.175</v>
      </c>
    </row>
    <row r="757" spans="1:12" x14ac:dyDescent="0.3">
      <c r="A757" s="1">
        <v>2026</v>
      </c>
      <c r="B757" s="20">
        <f t="shared" si="33"/>
        <v>46265</v>
      </c>
      <c r="C757" s="1">
        <v>55</v>
      </c>
      <c r="D757" s="1" t="s">
        <v>4</v>
      </c>
      <c r="E757" s="10">
        <v>21.94</v>
      </c>
      <c r="F757" s="10">
        <v>2</v>
      </c>
      <c r="G757" s="10"/>
      <c r="H757" s="22" t="str">
        <f t="shared" si="34"/>
        <v/>
      </c>
      <c r="I757" s="22"/>
      <c r="J757" s="10">
        <v>21.94</v>
      </c>
      <c r="K757" s="1">
        <v>101.3</v>
      </c>
      <c r="L757" s="1">
        <f t="shared" si="35"/>
        <v>2222.5219999999999</v>
      </c>
    </row>
    <row r="758" spans="1:12" x14ac:dyDescent="0.3">
      <c r="A758" s="1">
        <v>2026</v>
      </c>
      <c r="B758" s="20">
        <f t="shared" si="33"/>
        <v>46265</v>
      </c>
      <c r="C758" s="1">
        <v>58</v>
      </c>
      <c r="D758" s="1" t="s">
        <v>4</v>
      </c>
      <c r="E758" s="10">
        <v>51.11</v>
      </c>
      <c r="F758" s="10">
        <v>4</v>
      </c>
      <c r="G758" s="10"/>
      <c r="H758" s="22" t="str">
        <f t="shared" si="34"/>
        <v/>
      </c>
      <c r="I758" s="22"/>
      <c r="J758" s="10">
        <v>51.11</v>
      </c>
      <c r="K758" s="1">
        <v>74.489999999999995</v>
      </c>
      <c r="L758" s="1">
        <f t="shared" si="35"/>
        <v>3807.1838999999995</v>
      </c>
    </row>
    <row r="759" spans="1:12" x14ac:dyDescent="0.3">
      <c r="A759" s="1">
        <v>2026</v>
      </c>
      <c r="B759" s="20">
        <f t="shared" si="33"/>
        <v>46265</v>
      </c>
      <c r="C759" s="1">
        <v>61</v>
      </c>
      <c r="D759" s="1" t="s">
        <v>23</v>
      </c>
      <c r="E759" s="10">
        <v>1.1000000000000001</v>
      </c>
      <c r="F759" s="10">
        <v>1</v>
      </c>
      <c r="G759" s="19">
        <v>46023</v>
      </c>
      <c r="H759" s="22">
        <f t="shared" si="34"/>
        <v>7</v>
      </c>
      <c r="I759" s="22"/>
      <c r="J759" s="10">
        <v>1.1000000000000001</v>
      </c>
      <c r="K759" s="1">
        <v>77.31</v>
      </c>
      <c r="L759" s="1">
        <f t="shared" si="35"/>
        <v>85.041000000000011</v>
      </c>
    </row>
    <row r="760" spans="1:12" x14ac:dyDescent="0.3">
      <c r="A760" s="1">
        <v>2026</v>
      </c>
      <c r="B760" s="20">
        <f t="shared" si="33"/>
        <v>46265</v>
      </c>
      <c r="C760" s="1">
        <v>62</v>
      </c>
      <c r="D760" s="1" t="s">
        <v>23</v>
      </c>
      <c r="E760" s="10">
        <v>9.31</v>
      </c>
      <c r="F760" s="10">
        <v>1</v>
      </c>
      <c r="G760" s="19">
        <v>46023</v>
      </c>
      <c r="H760" s="22">
        <f t="shared" si="34"/>
        <v>7</v>
      </c>
      <c r="I760" s="22"/>
      <c r="J760" s="10">
        <v>9.31</v>
      </c>
      <c r="K760" s="1">
        <v>77.31</v>
      </c>
      <c r="L760" s="1">
        <f t="shared" si="35"/>
        <v>719.75610000000006</v>
      </c>
    </row>
    <row r="761" spans="1:12" x14ac:dyDescent="0.3">
      <c r="A761" s="1">
        <v>2026</v>
      </c>
      <c r="B761" s="20">
        <f t="shared" si="33"/>
        <v>46265</v>
      </c>
      <c r="C761" s="1">
        <v>64</v>
      </c>
      <c r="D761" s="1" t="s">
        <v>4</v>
      </c>
      <c r="E761" s="10">
        <v>19.93</v>
      </c>
      <c r="F761" s="10">
        <v>5</v>
      </c>
      <c r="G761" s="10"/>
      <c r="H761" s="22" t="str">
        <f t="shared" si="34"/>
        <v/>
      </c>
      <c r="I761" s="22"/>
      <c r="J761" s="10">
        <v>19.93</v>
      </c>
      <c r="K761" s="1">
        <v>77.14</v>
      </c>
      <c r="L761" s="1">
        <f t="shared" si="35"/>
        <v>1537.4002</v>
      </c>
    </row>
    <row r="762" spans="1:12" x14ac:dyDescent="0.3">
      <c r="A762" s="1">
        <v>2026</v>
      </c>
      <c r="B762" s="20">
        <f t="shared" si="33"/>
        <v>46265</v>
      </c>
      <c r="C762" s="1">
        <v>65</v>
      </c>
      <c r="D762" s="1" t="s">
        <v>4</v>
      </c>
      <c r="E762" s="10">
        <v>8.5299999999999994</v>
      </c>
      <c r="F762" s="10">
        <v>5</v>
      </c>
      <c r="G762" s="10"/>
      <c r="H762" s="22" t="str">
        <f t="shared" si="34"/>
        <v/>
      </c>
      <c r="I762" s="22"/>
      <c r="J762" s="10">
        <v>8.5299999999999994</v>
      </c>
      <c r="K762" s="1">
        <v>77.14</v>
      </c>
      <c r="L762" s="1">
        <f t="shared" si="35"/>
        <v>658.00419999999997</v>
      </c>
    </row>
    <row r="763" spans="1:12" x14ac:dyDescent="0.3">
      <c r="A763" s="1">
        <v>2026</v>
      </c>
      <c r="B763" s="20">
        <f t="shared" si="33"/>
        <v>46265</v>
      </c>
      <c r="C763" s="1">
        <v>66</v>
      </c>
      <c r="D763" s="1" t="s">
        <v>4</v>
      </c>
      <c r="E763" s="10">
        <v>9.0500000000000007</v>
      </c>
      <c r="F763" s="10">
        <v>5</v>
      </c>
      <c r="G763" s="10"/>
      <c r="H763" s="22" t="str">
        <f t="shared" si="34"/>
        <v/>
      </c>
      <c r="I763" s="22"/>
      <c r="J763" s="10">
        <v>9.0500000000000007</v>
      </c>
      <c r="K763" s="1">
        <v>77.14</v>
      </c>
      <c r="L763" s="1">
        <f t="shared" si="35"/>
        <v>698.11700000000008</v>
      </c>
    </row>
    <row r="764" spans="1:12" x14ac:dyDescent="0.3">
      <c r="A764" s="1">
        <v>2026</v>
      </c>
      <c r="B764" s="20">
        <f t="shared" si="33"/>
        <v>46265</v>
      </c>
      <c r="C764" s="1">
        <v>67</v>
      </c>
      <c r="D764" s="1" t="s">
        <v>4</v>
      </c>
      <c r="E764" s="10">
        <v>13.8</v>
      </c>
      <c r="F764" s="10">
        <v>5</v>
      </c>
      <c r="G764" s="10"/>
      <c r="H764" s="22" t="str">
        <f t="shared" si="34"/>
        <v/>
      </c>
      <c r="I764" s="22"/>
      <c r="J764" s="10">
        <v>13.8</v>
      </c>
      <c r="K764" s="1">
        <v>77.14</v>
      </c>
      <c r="L764" s="1">
        <f t="shared" si="35"/>
        <v>1064.5320000000002</v>
      </c>
    </row>
    <row r="765" spans="1:12" x14ac:dyDescent="0.3">
      <c r="A765" s="1">
        <v>2026</v>
      </c>
      <c r="B765" s="20">
        <f t="shared" si="33"/>
        <v>46265</v>
      </c>
      <c r="C765" s="1">
        <v>69</v>
      </c>
      <c r="D765" s="1" t="s">
        <v>4</v>
      </c>
      <c r="E765" s="10">
        <v>7.26</v>
      </c>
      <c r="F765" s="10">
        <v>5</v>
      </c>
      <c r="G765" s="10"/>
      <c r="H765" s="22" t="str">
        <f t="shared" si="34"/>
        <v/>
      </c>
      <c r="I765" s="22"/>
      <c r="J765" s="10">
        <v>7.26</v>
      </c>
      <c r="K765" s="1">
        <v>77.14</v>
      </c>
      <c r="L765" s="1">
        <f t="shared" si="35"/>
        <v>560.03639999999996</v>
      </c>
    </row>
    <row r="766" spans="1:12" x14ac:dyDescent="0.3">
      <c r="A766" s="1">
        <v>2026</v>
      </c>
      <c r="B766" s="20">
        <f t="shared" si="33"/>
        <v>46265</v>
      </c>
      <c r="C766" s="1">
        <v>79</v>
      </c>
      <c r="D766" s="1" t="s">
        <v>3</v>
      </c>
      <c r="E766" s="10">
        <v>24.76</v>
      </c>
      <c r="F766" s="10">
        <v>5</v>
      </c>
      <c r="G766" s="10"/>
      <c r="H766" s="22" t="str">
        <f t="shared" si="34"/>
        <v/>
      </c>
      <c r="I766" s="22"/>
      <c r="J766" s="10">
        <v>24.76</v>
      </c>
      <c r="K766" s="1">
        <v>77.14</v>
      </c>
      <c r="L766" s="1">
        <f t="shared" si="35"/>
        <v>1909.9864000000002</v>
      </c>
    </row>
    <row r="767" spans="1:12" x14ac:dyDescent="0.3">
      <c r="A767" s="1">
        <v>2026</v>
      </c>
      <c r="B767" s="20">
        <f t="shared" si="33"/>
        <v>46265</v>
      </c>
      <c r="C767" s="1">
        <v>83</v>
      </c>
      <c r="D767" s="1" t="s">
        <v>3</v>
      </c>
      <c r="E767" s="10">
        <v>0.32</v>
      </c>
      <c r="F767" s="10">
        <v>5</v>
      </c>
      <c r="G767" s="10"/>
      <c r="H767" s="22" t="str">
        <f t="shared" si="34"/>
        <v/>
      </c>
      <c r="I767" s="22"/>
      <c r="J767" s="10">
        <v>0.32</v>
      </c>
      <c r="K767" s="1">
        <v>77.14</v>
      </c>
      <c r="L767" s="1">
        <f t="shared" si="35"/>
        <v>24.684799999999999</v>
      </c>
    </row>
    <row r="768" spans="1:12" x14ac:dyDescent="0.3">
      <c r="A768" s="1">
        <v>2026</v>
      </c>
      <c r="B768" s="20">
        <f t="shared" si="33"/>
        <v>46265</v>
      </c>
      <c r="C768" s="1">
        <v>84</v>
      </c>
      <c r="D768" s="1" t="s">
        <v>3</v>
      </c>
      <c r="E768" s="10">
        <v>16.54</v>
      </c>
      <c r="F768" s="10">
        <v>5</v>
      </c>
      <c r="G768" s="10"/>
      <c r="H768" s="22" t="str">
        <f t="shared" si="34"/>
        <v/>
      </c>
      <c r="I768" s="22"/>
      <c r="J768" s="10">
        <v>16.54</v>
      </c>
      <c r="K768" s="1">
        <v>77.14</v>
      </c>
      <c r="L768" s="1">
        <f t="shared" si="35"/>
        <v>1275.8955999999998</v>
      </c>
    </row>
    <row r="769" spans="1:12" x14ac:dyDescent="0.3">
      <c r="A769" s="1">
        <v>2026</v>
      </c>
      <c r="B769" s="20">
        <f t="shared" si="33"/>
        <v>46265</v>
      </c>
      <c r="C769" s="1">
        <v>85</v>
      </c>
      <c r="D769" s="1" t="s">
        <v>23</v>
      </c>
      <c r="E769" s="10">
        <v>3.67</v>
      </c>
      <c r="F769" s="10">
        <v>1</v>
      </c>
      <c r="G769" s="19">
        <v>45992</v>
      </c>
      <c r="H769" s="22">
        <f t="shared" si="34"/>
        <v>8</v>
      </c>
      <c r="I769" s="22"/>
      <c r="J769" s="10">
        <v>3.67</v>
      </c>
      <c r="K769" s="1">
        <v>77.31</v>
      </c>
      <c r="L769" s="1">
        <f t="shared" si="35"/>
        <v>283.72770000000003</v>
      </c>
    </row>
    <row r="770" spans="1:12" x14ac:dyDescent="0.3">
      <c r="A770" s="1">
        <v>2026</v>
      </c>
      <c r="B770" s="20">
        <f t="shared" si="33"/>
        <v>46265</v>
      </c>
      <c r="C770" s="1">
        <v>86</v>
      </c>
      <c r="D770" s="1" t="s">
        <v>27</v>
      </c>
      <c r="E770" s="10">
        <v>2.99</v>
      </c>
      <c r="F770" s="10">
        <v>1</v>
      </c>
      <c r="G770" s="19">
        <v>45992</v>
      </c>
      <c r="H770" s="22">
        <f t="shared" si="34"/>
        <v>8</v>
      </c>
      <c r="I770" s="22"/>
      <c r="J770" s="10">
        <v>2.99</v>
      </c>
      <c r="K770" s="1">
        <v>77.31</v>
      </c>
      <c r="L770" s="1">
        <f t="shared" si="35"/>
        <v>231.15690000000004</v>
      </c>
    </row>
    <row r="771" spans="1:12" x14ac:dyDescent="0.3">
      <c r="A771" s="1">
        <v>2026</v>
      </c>
      <c r="B771" s="20">
        <f t="shared" ref="B771:B788" si="36">IF(A771="","",DATE(A771,8,31))</f>
        <v>46265</v>
      </c>
      <c r="C771" s="1">
        <v>87</v>
      </c>
      <c r="D771" s="1" t="s">
        <v>3</v>
      </c>
      <c r="E771" s="10">
        <v>20.76</v>
      </c>
      <c r="F771" s="10">
        <v>5</v>
      </c>
      <c r="G771" s="10"/>
      <c r="H771" s="22" t="str">
        <f t="shared" ref="H771:H788" si="37">IF(OR(G771="",B771=""),"",DATEDIF(G771,B771,"m"))</f>
        <v/>
      </c>
      <c r="I771" s="22"/>
      <c r="J771" s="10">
        <v>20.76</v>
      </c>
      <c r="K771" s="1">
        <v>77.14</v>
      </c>
      <c r="L771" s="1">
        <f t="shared" si="35"/>
        <v>1601.4264000000001</v>
      </c>
    </row>
    <row r="772" spans="1:12" x14ac:dyDescent="0.3">
      <c r="A772" s="1">
        <v>2026</v>
      </c>
      <c r="B772" s="20">
        <f t="shared" si="36"/>
        <v>46265</v>
      </c>
      <c r="C772" s="1">
        <v>92</v>
      </c>
      <c r="D772" s="1" t="s">
        <v>23</v>
      </c>
      <c r="E772" s="10">
        <v>39.67</v>
      </c>
      <c r="F772" s="10">
        <v>2</v>
      </c>
      <c r="G772" s="10"/>
      <c r="H772" s="22" t="str">
        <f t="shared" si="37"/>
        <v/>
      </c>
      <c r="I772" s="22"/>
      <c r="J772" s="10">
        <v>39.67</v>
      </c>
      <c r="K772" s="1">
        <v>101.3</v>
      </c>
      <c r="L772" s="1">
        <f t="shared" si="35"/>
        <v>4018.5709999999999</v>
      </c>
    </row>
    <row r="773" spans="1:12" x14ac:dyDescent="0.3">
      <c r="A773" s="1">
        <v>2026</v>
      </c>
      <c r="B773" s="20">
        <f t="shared" si="36"/>
        <v>46265</v>
      </c>
      <c r="C773" s="1">
        <v>93</v>
      </c>
      <c r="D773" s="1" t="s">
        <v>5</v>
      </c>
      <c r="E773" s="10">
        <v>26.99</v>
      </c>
      <c r="F773" s="10">
        <v>1</v>
      </c>
      <c r="G773" s="19">
        <v>45962</v>
      </c>
      <c r="H773" s="22">
        <f t="shared" si="37"/>
        <v>9</v>
      </c>
      <c r="I773" s="22"/>
      <c r="J773" s="10">
        <v>26.99</v>
      </c>
      <c r="K773" s="1">
        <v>77.31</v>
      </c>
      <c r="L773" s="1">
        <f t="shared" si="35"/>
        <v>2086.5969</v>
      </c>
    </row>
    <row r="774" spans="1:12" x14ac:dyDescent="0.3">
      <c r="A774" s="1">
        <v>2026</v>
      </c>
      <c r="B774" s="20">
        <f t="shared" si="36"/>
        <v>46265</v>
      </c>
      <c r="C774" s="1">
        <v>94</v>
      </c>
      <c r="D774" s="1" t="s">
        <v>3</v>
      </c>
      <c r="E774" s="10">
        <v>34.94</v>
      </c>
      <c r="F774" s="10">
        <v>7</v>
      </c>
      <c r="G774" s="10"/>
      <c r="H774" s="22" t="str">
        <f t="shared" si="37"/>
        <v/>
      </c>
      <c r="I774" s="22"/>
      <c r="J774" s="10">
        <v>34.94</v>
      </c>
      <c r="K774" s="1">
        <v>48.56</v>
      </c>
      <c r="L774" s="1">
        <f t="shared" si="35"/>
        <v>1696.6864</v>
      </c>
    </row>
    <row r="775" spans="1:12" x14ac:dyDescent="0.3">
      <c r="A775" s="1">
        <v>2026</v>
      </c>
      <c r="B775" s="20">
        <f t="shared" si="36"/>
        <v>46265</v>
      </c>
      <c r="C775" s="1">
        <v>95</v>
      </c>
      <c r="D775" s="1" t="s">
        <v>5</v>
      </c>
      <c r="E775" s="10">
        <v>38.32</v>
      </c>
      <c r="F775" s="10">
        <v>1</v>
      </c>
      <c r="G775" s="19">
        <v>45962</v>
      </c>
      <c r="H775" s="22">
        <f t="shared" si="37"/>
        <v>9</v>
      </c>
      <c r="I775" s="22"/>
      <c r="J775" s="10">
        <v>38.32</v>
      </c>
      <c r="K775" s="1">
        <v>77.31</v>
      </c>
      <c r="L775" s="1">
        <f t="shared" si="35"/>
        <v>2962.5192000000002</v>
      </c>
    </row>
    <row r="776" spans="1:12" x14ac:dyDescent="0.3">
      <c r="A776" s="1">
        <v>2026</v>
      </c>
      <c r="B776" s="20">
        <f t="shared" si="36"/>
        <v>46265</v>
      </c>
      <c r="C776" s="1">
        <v>96</v>
      </c>
      <c r="D776" s="1" t="s">
        <v>23</v>
      </c>
      <c r="E776" s="10">
        <v>12.13</v>
      </c>
      <c r="F776" s="10">
        <v>1.5</v>
      </c>
      <c r="G776" s="19">
        <v>45658</v>
      </c>
      <c r="H776" s="22">
        <f t="shared" si="37"/>
        <v>19</v>
      </c>
      <c r="I776" s="22"/>
      <c r="J776" s="10">
        <v>12.13</v>
      </c>
      <c r="K776" s="1">
        <v>121.79</v>
      </c>
      <c r="L776" s="1">
        <f t="shared" si="35"/>
        <v>1477.3127000000002</v>
      </c>
    </row>
    <row r="777" spans="1:12" x14ac:dyDescent="0.3">
      <c r="A777" s="1">
        <v>2026</v>
      </c>
      <c r="B777" s="20">
        <f t="shared" si="36"/>
        <v>46265</v>
      </c>
      <c r="C777" s="1">
        <v>97</v>
      </c>
      <c r="D777" s="1" t="s">
        <v>5</v>
      </c>
      <c r="E777" s="10">
        <v>6.47</v>
      </c>
      <c r="F777" s="10">
        <v>3</v>
      </c>
      <c r="G777" s="10"/>
      <c r="H777" s="22" t="str">
        <f t="shared" si="37"/>
        <v/>
      </c>
      <c r="I777" s="22"/>
      <c r="J777" s="10">
        <v>6.47</v>
      </c>
      <c r="K777" s="1">
        <v>88.13</v>
      </c>
      <c r="L777" s="1">
        <f t="shared" si="35"/>
        <v>570.2011</v>
      </c>
    </row>
    <row r="778" spans="1:12" x14ac:dyDescent="0.3">
      <c r="A778" s="1">
        <v>2026</v>
      </c>
      <c r="B778" s="20">
        <f t="shared" si="36"/>
        <v>46265</v>
      </c>
      <c r="C778" s="1">
        <v>98</v>
      </c>
      <c r="D778" s="1" t="s">
        <v>27</v>
      </c>
      <c r="E778" s="10">
        <v>14.49</v>
      </c>
      <c r="F778" s="10">
        <v>2</v>
      </c>
      <c r="G778" s="10"/>
      <c r="H778" s="22" t="str">
        <f t="shared" si="37"/>
        <v/>
      </c>
      <c r="I778" s="22"/>
      <c r="J778" s="10">
        <v>14.49</v>
      </c>
      <c r="K778" s="1">
        <v>0</v>
      </c>
      <c r="L778" s="1">
        <f t="shared" si="35"/>
        <v>0</v>
      </c>
    </row>
    <row r="779" spans="1:12" x14ac:dyDescent="0.3">
      <c r="A779" s="1">
        <v>2026</v>
      </c>
      <c r="B779" s="20">
        <f t="shared" si="36"/>
        <v>46265</v>
      </c>
      <c r="C779" s="1">
        <v>99</v>
      </c>
      <c r="D779" s="1" t="s">
        <v>23</v>
      </c>
      <c r="E779" s="10">
        <v>30.46</v>
      </c>
      <c r="F779" s="10">
        <v>1.5</v>
      </c>
      <c r="G779" s="19">
        <v>45658</v>
      </c>
      <c r="H779" s="22">
        <f t="shared" si="37"/>
        <v>19</v>
      </c>
      <c r="I779" s="22"/>
      <c r="J779" s="10">
        <v>30.46</v>
      </c>
      <c r="K779" s="1">
        <v>121.79</v>
      </c>
      <c r="L779" s="1">
        <f t="shared" si="35"/>
        <v>3709.7234000000003</v>
      </c>
    </row>
    <row r="780" spans="1:12" x14ac:dyDescent="0.3">
      <c r="A780" s="1">
        <v>2026</v>
      </c>
      <c r="B780" s="20">
        <f t="shared" si="36"/>
        <v>46265</v>
      </c>
      <c r="C780" s="1">
        <v>100</v>
      </c>
      <c r="D780" s="1" t="s">
        <v>23</v>
      </c>
      <c r="E780" s="10">
        <v>19.100000000000001</v>
      </c>
      <c r="F780" s="10">
        <v>1</v>
      </c>
      <c r="G780" s="19">
        <v>45992</v>
      </c>
      <c r="H780" s="22">
        <f t="shared" si="37"/>
        <v>8</v>
      </c>
      <c r="I780" s="22"/>
      <c r="J780" s="10">
        <v>19.100000000000001</v>
      </c>
      <c r="K780" s="1">
        <v>77.31</v>
      </c>
      <c r="L780" s="1">
        <f t="shared" si="35"/>
        <v>1476.6210000000001</v>
      </c>
    </row>
    <row r="781" spans="1:12" x14ac:dyDescent="0.3">
      <c r="A781" s="1">
        <v>2026</v>
      </c>
      <c r="B781" s="20">
        <f t="shared" si="36"/>
        <v>46265</v>
      </c>
      <c r="C781" s="10">
        <v>101</v>
      </c>
      <c r="D781" s="1" t="s">
        <v>5</v>
      </c>
      <c r="E781" s="10">
        <v>24.8</v>
      </c>
      <c r="F781" s="10">
        <v>2</v>
      </c>
      <c r="G781" s="10"/>
      <c r="H781" s="22" t="str">
        <f t="shared" si="37"/>
        <v/>
      </c>
      <c r="I781" s="22"/>
      <c r="J781" s="10">
        <v>24.8</v>
      </c>
      <c r="K781" s="1">
        <v>101.3</v>
      </c>
      <c r="L781" s="1">
        <f t="shared" si="35"/>
        <v>2512.2399999999998</v>
      </c>
    </row>
    <row r="782" spans="1:12" x14ac:dyDescent="0.3">
      <c r="A782" s="1">
        <v>2026</v>
      </c>
      <c r="B782" s="20">
        <f t="shared" si="36"/>
        <v>46265</v>
      </c>
      <c r="C782" s="1">
        <v>102</v>
      </c>
      <c r="D782" s="1" t="s">
        <v>57</v>
      </c>
      <c r="E782" s="10">
        <v>26.37</v>
      </c>
      <c r="F782" s="10">
        <v>1</v>
      </c>
      <c r="G782" s="19">
        <v>46023</v>
      </c>
      <c r="H782" s="22">
        <f t="shared" si="37"/>
        <v>7</v>
      </c>
      <c r="I782" s="22"/>
      <c r="J782" s="10">
        <v>26.37</v>
      </c>
      <c r="K782" s="1">
        <v>77.31</v>
      </c>
      <c r="L782" s="1">
        <f t="shared" si="35"/>
        <v>2038.6647</v>
      </c>
    </row>
    <row r="783" spans="1:12" x14ac:dyDescent="0.3">
      <c r="A783" s="1">
        <v>2026</v>
      </c>
      <c r="B783" s="20">
        <f t="shared" si="36"/>
        <v>46265</v>
      </c>
      <c r="C783" s="10">
        <v>103</v>
      </c>
      <c r="D783" s="1" t="s">
        <v>5</v>
      </c>
      <c r="E783" s="10">
        <v>12.59</v>
      </c>
      <c r="F783" s="10">
        <v>2</v>
      </c>
      <c r="G783" s="10"/>
      <c r="H783" s="22" t="str">
        <f t="shared" si="37"/>
        <v/>
      </c>
      <c r="I783" s="22"/>
      <c r="J783" s="10">
        <v>12.59</v>
      </c>
      <c r="K783" s="1">
        <v>101.3</v>
      </c>
      <c r="L783" s="1">
        <f t="shared" si="35"/>
        <v>1275.367</v>
      </c>
    </row>
    <row r="784" spans="1:12" x14ac:dyDescent="0.3">
      <c r="A784" s="1">
        <v>2026</v>
      </c>
      <c r="B784" s="20">
        <f t="shared" si="36"/>
        <v>46265</v>
      </c>
      <c r="C784" s="10">
        <v>104</v>
      </c>
      <c r="D784" s="1" t="s">
        <v>23</v>
      </c>
      <c r="E784" s="10">
        <v>19.16</v>
      </c>
      <c r="F784" s="10">
        <v>1.5</v>
      </c>
      <c r="G784" s="19">
        <v>45658</v>
      </c>
      <c r="H784" s="22">
        <f t="shared" si="37"/>
        <v>19</v>
      </c>
      <c r="I784" s="22"/>
      <c r="J784" s="10">
        <v>19.16</v>
      </c>
      <c r="K784" s="1">
        <v>0</v>
      </c>
      <c r="L784" s="1">
        <f t="shared" si="35"/>
        <v>0</v>
      </c>
    </row>
    <row r="785" spans="1:12" x14ac:dyDescent="0.3">
      <c r="A785" s="1">
        <v>2026</v>
      </c>
      <c r="B785" s="20">
        <f t="shared" si="36"/>
        <v>46265</v>
      </c>
      <c r="C785" s="10">
        <v>105</v>
      </c>
      <c r="D785" s="1" t="s">
        <v>3</v>
      </c>
      <c r="E785" s="10">
        <v>38.049999999999997</v>
      </c>
      <c r="F785" s="10">
        <v>5</v>
      </c>
      <c r="G785" s="10"/>
      <c r="H785" s="22" t="str">
        <f t="shared" si="37"/>
        <v/>
      </c>
      <c r="I785" s="22"/>
      <c r="J785" s="10">
        <v>38.049999999999997</v>
      </c>
      <c r="K785" s="1">
        <v>77.14</v>
      </c>
      <c r="L785" s="1">
        <f t="shared" si="35"/>
        <v>2935.1769999999997</v>
      </c>
    </row>
    <row r="786" spans="1:12" x14ac:dyDescent="0.3">
      <c r="A786" s="1">
        <v>2026</v>
      </c>
      <c r="B786" s="20">
        <f t="shared" si="36"/>
        <v>46265</v>
      </c>
      <c r="C786" s="1">
        <v>106</v>
      </c>
      <c r="D786" s="1" t="s">
        <v>27</v>
      </c>
      <c r="E786" s="10">
        <v>12.29</v>
      </c>
      <c r="F786" s="10">
        <v>1</v>
      </c>
      <c r="G786" s="19">
        <v>45992</v>
      </c>
      <c r="H786" s="22">
        <f t="shared" si="37"/>
        <v>8</v>
      </c>
      <c r="I786" s="22"/>
      <c r="J786" s="10">
        <v>12.29</v>
      </c>
      <c r="K786" s="1">
        <v>77.31</v>
      </c>
      <c r="L786" s="1">
        <f t="shared" si="35"/>
        <v>950.13990000000001</v>
      </c>
    </row>
    <row r="787" spans="1:12" x14ac:dyDescent="0.3">
      <c r="A787" s="1">
        <v>2026</v>
      </c>
      <c r="B787" s="20">
        <f t="shared" si="36"/>
        <v>46265</v>
      </c>
      <c r="C787" s="1">
        <v>108</v>
      </c>
      <c r="D787" s="1" t="s">
        <v>4</v>
      </c>
      <c r="E787" s="10">
        <v>13.48</v>
      </c>
      <c r="F787" s="10">
        <v>4</v>
      </c>
      <c r="G787" s="10"/>
      <c r="H787" s="22" t="str">
        <f t="shared" si="37"/>
        <v/>
      </c>
      <c r="I787" s="22"/>
      <c r="J787" s="10">
        <v>13.48</v>
      </c>
      <c r="K787" s="1">
        <v>74.489999999999995</v>
      </c>
      <c r="L787" s="1">
        <f t="shared" si="35"/>
        <v>1004.1251999999999</v>
      </c>
    </row>
    <row r="788" spans="1:12" x14ac:dyDescent="0.3">
      <c r="A788" s="1">
        <v>2026</v>
      </c>
      <c r="B788" s="20">
        <f t="shared" si="36"/>
        <v>46265</v>
      </c>
      <c r="C788" s="1">
        <v>109</v>
      </c>
      <c r="D788" s="1" t="s">
        <v>4</v>
      </c>
      <c r="E788" s="10">
        <v>45.7</v>
      </c>
      <c r="F788" s="10">
        <v>3</v>
      </c>
      <c r="G788" s="10"/>
      <c r="H788" s="22" t="str">
        <f t="shared" si="37"/>
        <v/>
      </c>
      <c r="I788" s="22"/>
      <c r="J788" s="10">
        <v>45.7</v>
      </c>
      <c r="K788" s="1">
        <v>88.13</v>
      </c>
      <c r="L788" s="1">
        <f t="shared" si="35"/>
        <v>4027.5410000000002</v>
      </c>
    </row>
  </sheetData>
  <autoFilter ref="A1:L788" xr:uid="{05B88DED-2186-4B06-A0DC-FB0B7B55563E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1550E-087D-41C0-B9E9-5E9C6107C552}">
  <dimension ref="A1:D63"/>
  <sheetViews>
    <sheetView showGridLines="0" workbookViewId="0">
      <selection activeCell="M14" sqref="M14"/>
    </sheetView>
  </sheetViews>
  <sheetFormatPr defaultRowHeight="14.4" x14ac:dyDescent="0.3"/>
  <cols>
    <col min="1" max="2" width="8.88671875" style="18"/>
    <col min="3" max="3" width="11.5546875" style="18" bestFit="1" customWidth="1"/>
    <col min="4" max="4" width="9.5546875" style="18" bestFit="1" customWidth="1"/>
  </cols>
  <sheetData>
    <row r="1" spans="1:4" x14ac:dyDescent="0.3">
      <c r="A1" s="17" t="s">
        <v>52</v>
      </c>
      <c r="B1" s="17" t="s">
        <v>53</v>
      </c>
      <c r="C1" s="17" t="s">
        <v>54</v>
      </c>
      <c r="D1" s="17" t="s">
        <v>0</v>
      </c>
    </row>
    <row r="2" spans="1:4" x14ac:dyDescent="0.3">
      <c r="A2" s="1">
        <v>1</v>
      </c>
      <c r="B2" s="2">
        <v>16.46</v>
      </c>
      <c r="C2" s="15">
        <v>3</v>
      </c>
      <c r="D2" s="15" t="s">
        <v>2</v>
      </c>
    </row>
    <row r="3" spans="1:4" x14ac:dyDescent="0.3">
      <c r="A3" s="1">
        <v>2</v>
      </c>
      <c r="B3" s="2">
        <v>21.96</v>
      </c>
      <c r="C3" s="15">
        <v>3</v>
      </c>
      <c r="D3" s="15" t="s">
        <v>2</v>
      </c>
    </row>
    <row r="4" spans="1:4" x14ac:dyDescent="0.3">
      <c r="A4" s="1">
        <v>3</v>
      </c>
      <c r="B4" s="2">
        <v>20.67</v>
      </c>
      <c r="C4" s="15">
        <v>5</v>
      </c>
      <c r="D4" s="15" t="s">
        <v>3</v>
      </c>
    </row>
    <row r="5" spans="1:4" x14ac:dyDescent="0.3">
      <c r="A5" s="1">
        <v>5</v>
      </c>
      <c r="B5" s="2">
        <v>43.99</v>
      </c>
      <c r="C5" s="15">
        <v>4</v>
      </c>
      <c r="D5" s="15" t="s">
        <v>23</v>
      </c>
    </row>
    <row r="6" spans="1:4" x14ac:dyDescent="0.3">
      <c r="A6" s="15">
        <v>8</v>
      </c>
      <c r="B6" s="16">
        <v>10.01</v>
      </c>
      <c r="C6" s="15">
        <v>5</v>
      </c>
      <c r="D6" s="15" t="s">
        <v>23</v>
      </c>
    </row>
    <row r="7" spans="1:4" x14ac:dyDescent="0.3">
      <c r="A7" s="15">
        <v>10</v>
      </c>
      <c r="B7" s="16">
        <v>6.54</v>
      </c>
      <c r="C7" s="15">
        <v>4</v>
      </c>
      <c r="D7" s="15" t="s">
        <v>3</v>
      </c>
    </row>
    <row r="8" spans="1:4" x14ac:dyDescent="0.3">
      <c r="A8" s="15">
        <v>12</v>
      </c>
      <c r="B8" s="16">
        <v>4.91</v>
      </c>
      <c r="C8" s="15">
        <v>4</v>
      </c>
      <c r="D8" s="15" t="s">
        <v>3</v>
      </c>
    </row>
    <row r="9" spans="1:4" x14ac:dyDescent="0.3">
      <c r="A9" s="15">
        <v>14</v>
      </c>
      <c r="B9" s="16">
        <v>7.22</v>
      </c>
      <c r="C9" s="15">
        <v>4</v>
      </c>
      <c r="D9" s="15" t="s">
        <v>3</v>
      </c>
    </row>
    <row r="10" spans="1:4" x14ac:dyDescent="0.3">
      <c r="A10" s="15">
        <v>15</v>
      </c>
      <c r="B10" s="16">
        <v>12.58</v>
      </c>
      <c r="C10" s="15">
        <v>2</v>
      </c>
      <c r="D10" s="15" t="s">
        <v>4</v>
      </c>
    </row>
    <row r="11" spans="1:4" x14ac:dyDescent="0.3">
      <c r="A11" s="15">
        <v>16</v>
      </c>
      <c r="B11" s="16">
        <v>10.25</v>
      </c>
      <c r="C11" s="15">
        <v>4</v>
      </c>
      <c r="D11" s="15" t="s">
        <v>3</v>
      </c>
    </row>
    <row r="12" spans="1:4" x14ac:dyDescent="0.3">
      <c r="A12" s="15">
        <v>17</v>
      </c>
      <c r="B12" s="16">
        <v>9.6300000000000008</v>
      </c>
      <c r="C12" s="15">
        <v>4</v>
      </c>
      <c r="D12" s="15" t="s">
        <v>3</v>
      </c>
    </row>
    <row r="13" spans="1:4" x14ac:dyDescent="0.3">
      <c r="A13" s="15">
        <v>18</v>
      </c>
      <c r="B13" s="16">
        <v>4.25</v>
      </c>
      <c r="C13" s="15">
        <v>3</v>
      </c>
      <c r="D13" s="15" t="s">
        <v>4</v>
      </c>
    </row>
    <row r="14" spans="1:4" x14ac:dyDescent="0.3">
      <c r="A14" s="15">
        <v>19</v>
      </c>
      <c r="B14" s="16">
        <v>13</v>
      </c>
      <c r="C14" s="15">
        <v>3</v>
      </c>
      <c r="D14" s="15" t="s">
        <v>4</v>
      </c>
    </row>
    <row r="15" spans="1:4" x14ac:dyDescent="0.3">
      <c r="A15" s="15">
        <v>20</v>
      </c>
      <c r="B15" s="16">
        <v>5.08</v>
      </c>
      <c r="C15" s="15">
        <v>3</v>
      </c>
      <c r="D15" s="15" t="s">
        <v>3</v>
      </c>
    </row>
    <row r="16" spans="1:4" x14ac:dyDescent="0.3">
      <c r="A16" s="15">
        <v>21</v>
      </c>
      <c r="B16" s="16">
        <v>12.92</v>
      </c>
      <c r="C16" s="15">
        <v>3</v>
      </c>
      <c r="D16" s="15" t="s">
        <v>3</v>
      </c>
    </row>
    <row r="17" spans="1:4" x14ac:dyDescent="0.3">
      <c r="A17" s="15">
        <v>22</v>
      </c>
      <c r="B17" s="16">
        <v>19.760000000000002</v>
      </c>
      <c r="C17" s="15">
        <v>3</v>
      </c>
      <c r="D17" s="15" t="s">
        <v>4</v>
      </c>
    </row>
    <row r="18" spans="1:4" x14ac:dyDescent="0.3">
      <c r="A18" s="15">
        <v>23</v>
      </c>
      <c r="B18" s="16">
        <v>8.61</v>
      </c>
      <c r="C18" s="15">
        <v>1</v>
      </c>
      <c r="D18" s="15" t="s">
        <v>5</v>
      </c>
    </row>
    <row r="19" spans="1:4" x14ac:dyDescent="0.3">
      <c r="A19" s="15">
        <v>24</v>
      </c>
      <c r="B19" s="16">
        <v>12.12</v>
      </c>
      <c r="C19" s="15">
        <v>2</v>
      </c>
      <c r="D19" s="15" t="s">
        <v>4</v>
      </c>
    </row>
    <row r="20" spans="1:4" x14ac:dyDescent="0.3">
      <c r="A20" s="15">
        <v>25</v>
      </c>
      <c r="B20" s="16">
        <v>11.43</v>
      </c>
      <c r="C20" s="15">
        <v>2</v>
      </c>
      <c r="D20" s="15" t="s">
        <v>4</v>
      </c>
    </row>
    <row r="21" spans="1:4" x14ac:dyDescent="0.3">
      <c r="A21" s="15">
        <v>26</v>
      </c>
      <c r="B21" s="16">
        <v>19</v>
      </c>
      <c r="C21" s="15">
        <v>2</v>
      </c>
      <c r="D21" s="15" t="s">
        <v>4</v>
      </c>
    </row>
    <row r="22" spans="1:4" x14ac:dyDescent="0.3">
      <c r="A22" s="15">
        <v>27</v>
      </c>
      <c r="B22" s="16">
        <v>28</v>
      </c>
      <c r="C22" s="15">
        <v>2</v>
      </c>
      <c r="D22" s="15" t="s">
        <v>5</v>
      </c>
    </row>
    <row r="23" spans="1:4" x14ac:dyDescent="0.3">
      <c r="A23" s="15">
        <v>28</v>
      </c>
      <c r="B23" s="16">
        <v>33.369999999999997</v>
      </c>
      <c r="C23" s="15">
        <v>2</v>
      </c>
      <c r="D23" s="15" t="s">
        <v>5</v>
      </c>
    </row>
    <row r="24" spans="1:4" x14ac:dyDescent="0.3">
      <c r="A24" s="15">
        <v>29</v>
      </c>
      <c r="B24" s="16">
        <v>39.880000000000003</v>
      </c>
      <c r="C24" s="15">
        <v>4</v>
      </c>
      <c r="D24" s="15" t="s">
        <v>4</v>
      </c>
    </row>
    <row r="25" spans="1:4" x14ac:dyDescent="0.3">
      <c r="A25" s="15">
        <v>30</v>
      </c>
      <c r="B25" s="16">
        <v>34.229999999999997</v>
      </c>
      <c r="C25" s="15">
        <v>4</v>
      </c>
      <c r="D25" s="15" t="s">
        <v>3</v>
      </c>
    </row>
    <row r="26" spans="1:4" x14ac:dyDescent="0.3">
      <c r="A26" s="15">
        <v>31</v>
      </c>
      <c r="B26" s="16">
        <v>16.71</v>
      </c>
      <c r="C26" s="15">
        <v>4</v>
      </c>
      <c r="D26" s="15" t="s">
        <v>2</v>
      </c>
    </row>
    <row r="27" spans="1:4" x14ac:dyDescent="0.3">
      <c r="A27" s="15">
        <v>32</v>
      </c>
      <c r="B27" s="16">
        <v>12.04</v>
      </c>
      <c r="C27" s="15">
        <v>4</v>
      </c>
      <c r="D27" s="15" t="s">
        <v>2</v>
      </c>
    </row>
    <row r="28" spans="1:4" x14ac:dyDescent="0.3">
      <c r="A28" s="15">
        <v>33</v>
      </c>
      <c r="B28" s="16">
        <v>8.81</v>
      </c>
      <c r="C28" s="15">
        <v>3</v>
      </c>
      <c r="D28" s="15" t="s">
        <v>5</v>
      </c>
    </row>
    <row r="29" spans="1:4" x14ac:dyDescent="0.3">
      <c r="A29" s="15">
        <v>52</v>
      </c>
      <c r="B29" s="16">
        <v>13.63</v>
      </c>
      <c r="C29" s="15">
        <v>1</v>
      </c>
      <c r="D29" s="15" t="s">
        <v>23</v>
      </c>
    </row>
    <row r="30" spans="1:4" x14ac:dyDescent="0.3">
      <c r="A30" s="15">
        <v>53</v>
      </c>
      <c r="B30" s="16">
        <v>22.19</v>
      </c>
      <c r="C30" s="15">
        <v>2</v>
      </c>
      <c r="D30" s="15" t="s">
        <v>4</v>
      </c>
    </row>
    <row r="31" spans="1:4" x14ac:dyDescent="0.3">
      <c r="A31" s="15">
        <v>54</v>
      </c>
      <c r="B31" s="16">
        <v>14.75</v>
      </c>
      <c r="C31" s="15">
        <v>2</v>
      </c>
      <c r="D31" s="15" t="s">
        <v>4</v>
      </c>
    </row>
    <row r="32" spans="1:4" x14ac:dyDescent="0.3">
      <c r="A32" s="15">
        <v>55</v>
      </c>
      <c r="B32" s="16">
        <v>21.94</v>
      </c>
      <c r="C32" s="15">
        <v>2</v>
      </c>
      <c r="D32" s="15" t="s">
        <v>4</v>
      </c>
    </row>
    <row r="33" spans="1:4" x14ac:dyDescent="0.3">
      <c r="A33" s="15">
        <v>58</v>
      </c>
      <c r="B33" s="16">
        <v>51.11</v>
      </c>
      <c r="C33" s="15">
        <v>3</v>
      </c>
      <c r="D33" s="15" t="s">
        <v>4</v>
      </c>
    </row>
    <row r="34" spans="1:4" x14ac:dyDescent="0.3">
      <c r="A34" s="15">
        <v>61</v>
      </c>
      <c r="B34" s="16">
        <v>1.1000000000000001</v>
      </c>
      <c r="C34" s="15">
        <v>5</v>
      </c>
      <c r="D34" s="15" t="s">
        <v>2</v>
      </c>
    </row>
    <row r="35" spans="1:4" x14ac:dyDescent="0.3">
      <c r="A35" s="15">
        <v>62</v>
      </c>
      <c r="B35" s="16">
        <v>9.31</v>
      </c>
      <c r="C35" s="15">
        <v>5</v>
      </c>
      <c r="D35" s="15" t="s">
        <v>3</v>
      </c>
    </row>
    <row r="36" spans="1:4" x14ac:dyDescent="0.3">
      <c r="A36" s="15">
        <v>64</v>
      </c>
      <c r="B36" s="16">
        <v>19.93</v>
      </c>
      <c r="C36" s="15">
        <v>4</v>
      </c>
      <c r="D36" s="15" t="s">
        <v>4</v>
      </c>
    </row>
    <row r="37" spans="1:4" x14ac:dyDescent="0.3">
      <c r="A37" s="15">
        <v>65</v>
      </c>
      <c r="B37" s="16">
        <v>8.5299999999999994</v>
      </c>
      <c r="C37" s="15">
        <v>4</v>
      </c>
      <c r="D37" s="15" t="s">
        <v>4</v>
      </c>
    </row>
    <row r="38" spans="1:4" x14ac:dyDescent="0.3">
      <c r="A38" s="15">
        <v>66</v>
      </c>
      <c r="B38" s="16">
        <v>9.0500000000000007</v>
      </c>
      <c r="C38" s="15">
        <v>4</v>
      </c>
      <c r="D38" s="15" t="s">
        <v>4</v>
      </c>
    </row>
    <row r="39" spans="1:4" x14ac:dyDescent="0.3">
      <c r="A39" s="15">
        <v>67</v>
      </c>
      <c r="B39" s="16">
        <v>13.8</v>
      </c>
      <c r="C39" s="15">
        <v>4</v>
      </c>
      <c r="D39" s="15" t="s">
        <v>4</v>
      </c>
    </row>
    <row r="40" spans="1:4" x14ac:dyDescent="0.3">
      <c r="A40" s="15">
        <v>69</v>
      </c>
      <c r="B40" s="16">
        <v>7.26</v>
      </c>
      <c r="C40" s="15">
        <v>4</v>
      </c>
      <c r="D40" s="15" t="s">
        <v>4</v>
      </c>
    </row>
    <row r="41" spans="1:4" x14ac:dyDescent="0.3">
      <c r="A41" s="15">
        <v>79</v>
      </c>
      <c r="B41" s="16">
        <v>24.76</v>
      </c>
      <c r="C41" s="15">
        <v>4</v>
      </c>
      <c r="D41" s="15" t="s">
        <v>3</v>
      </c>
    </row>
    <row r="42" spans="1:4" x14ac:dyDescent="0.3">
      <c r="A42" s="15">
        <v>83</v>
      </c>
      <c r="B42" s="16">
        <v>0.32</v>
      </c>
      <c r="C42" s="15">
        <v>4</v>
      </c>
      <c r="D42" s="15" t="s">
        <v>3</v>
      </c>
    </row>
    <row r="43" spans="1:4" x14ac:dyDescent="0.3">
      <c r="A43" s="15">
        <v>84</v>
      </c>
      <c r="B43" s="16">
        <v>16.54</v>
      </c>
      <c r="C43" s="15">
        <v>4</v>
      </c>
      <c r="D43" s="15" t="s">
        <v>3</v>
      </c>
    </row>
    <row r="44" spans="1:4" x14ac:dyDescent="0.3">
      <c r="A44" s="15">
        <v>85</v>
      </c>
      <c r="B44" s="16">
        <v>3.67</v>
      </c>
      <c r="C44" s="15">
        <v>4</v>
      </c>
      <c r="D44" s="15" t="s">
        <v>2</v>
      </c>
    </row>
    <row r="45" spans="1:4" x14ac:dyDescent="0.3">
      <c r="A45" s="15">
        <v>86</v>
      </c>
      <c r="B45" s="16">
        <v>2.99</v>
      </c>
      <c r="C45" s="15">
        <v>4</v>
      </c>
      <c r="D45" s="15" t="s">
        <v>2</v>
      </c>
    </row>
    <row r="46" spans="1:4" x14ac:dyDescent="0.3">
      <c r="A46" s="15">
        <v>87</v>
      </c>
      <c r="B46" s="16">
        <v>20.76</v>
      </c>
      <c r="C46" s="15">
        <v>4</v>
      </c>
      <c r="D46" s="15" t="s">
        <v>3</v>
      </c>
    </row>
    <row r="47" spans="1:4" x14ac:dyDescent="0.3">
      <c r="A47" s="15">
        <v>92</v>
      </c>
      <c r="B47" s="16">
        <v>39.67</v>
      </c>
      <c r="C47" s="15">
        <v>2</v>
      </c>
      <c r="D47" s="15" t="s">
        <v>23</v>
      </c>
    </row>
    <row r="48" spans="1:4" x14ac:dyDescent="0.3">
      <c r="A48" s="15">
        <v>93</v>
      </c>
      <c r="B48" s="16">
        <v>26.99</v>
      </c>
      <c r="C48" s="15">
        <v>6</v>
      </c>
      <c r="D48" s="15" t="s">
        <v>3</v>
      </c>
    </row>
    <row r="49" spans="1:4" x14ac:dyDescent="0.3">
      <c r="A49" s="15">
        <v>94</v>
      </c>
      <c r="B49" s="16">
        <v>34.94</v>
      </c>
      <c r="C49" s="15">
        <v>6</v>
      </c>
      <c r="D49" s="15" t="s">
        <v>3</v>
      </c>
    </row>
    <row r="50" spans="1:4" x14ac:dyDescent="0.3">
      <c r="A50" s="15">
        <v>95</v>
      </c>
      <c r="B50" s="16">
        <v>38.32</v>
      </c>
      <c r="C50" s="15">
        <v>6</v>
      </c>
      <c r="D50" s="15" t="s">
        <v>3</v>
      </c>
    </row>
    <row r="51" spans="1:4" x14ac:dyDescent="0.3">
      <c r="A51" s="15">
        <v>96</v>
      </c>
      <c r="B51" s="16">
        <v>12.13</v>
      </c>
      <c r="C51" s="15">
        <v>1</v>
      </c>
      <c r="D51" s="15" t="s">
        <v>23</v>
      </c>
    </row>
    <row r="52" spans="1:4" x14ac:dyDescent="0.3">
      <c r="A52" s="15">
        <v>97</v>
      </c>
      <c r="B52" s="16">
        <v>6.47</v>
      </c>
      <c r="C52" s="15">
        <v>2</v>
      </c>
      <c r="D52" s="15" t="s">
        <v>5</v>
      </c>
    </row>
    <row r="53" spans="1:4" x14ac:dyDescent="0.3">
      <c r="A53" s="15">
        <v>98</v>
      </c>
      <c r="B53" s="16">
        <v>14.49</v>
      </c>
      <c r="C53" s="15">
        <v>1</v>
      </c>
      <c r="D53" s="15" t="s">
        <v>27</v>
      </c>
    </row>
    <row r="54" spans="1:4" x14ac:dyDescent="0.3">
      <c r="A54" s="15">
        <v>99</v>
      </c>
      <c r="B54" s="16">
        <v>30.46</v>
      </c>
      <c r="C54" s="15">
        <v>1</v>
      </c>
      <c r="D54" s="15" t="s">
        <v>23</v>
      </c>
    </row>
    <row r="55" spans="1:4" x14ac:dyDescent="0.3">
      <c r="A55" s="15">
        <v>100</v>
      </c>
      <c r="B55" s="16">
        <v>19.100000000000001</v>
      </c>
      <c r="C55" s="15">
        <v>5</v>
      </c>
      <c r="D55" s="15" t="s">
        <v>3</v>
      </c>
    </row>
    <row r="56" spans="1:4" x14ac:dyDescent="0.3">
      <c r="A56" s="15">
        <v>101</v>
      </c>
      <c r="B56" s="16">
        <v>24.8</v>
      </c>
      <c r="C56" s="15">
        <v>1</v>
      </c>
      <c r="D56" s="15" t="s">
        <v>5</v>
      </c>
    </row>
    <row r="57" spans="1:4" x14ac:dyDescent="0.3">
      <c r="A57" s="15">
        <v>102</v>
      </c>
      <c r="B57" s="16">
        <v>26.37</v>
      </c>
      <c r="C57" s="15">
        <v>5</v>
      </c>
      <c r="D57" s="15" t="s">
        <v>3</v>
      </c>
    </row>
    <row r="58" spans="1:4" x14ac:dyDescent="0.3">
      <c r="A58" s="15">
        <v>103</v>
      </c>
      <c r="B58" s="16">
        <v>12.59</v>
      </c>
      <c r="C58" s="15">
        <v>1</v>
      </c>
      <c r="D58" s="15" t="s">
        <v>5</v>
      </c>
    </row>
    <row r="59" spans="1:4" x14ac:dyDescent="0.3">
      <c r="A59" s="15">
        <v>104</v>
      </c>
      <c r="B59" s="16">
        <v>19.16</v>
      </c>
      <c r="C59" s="15">
        <v>1</v>
      </c>
      <c r="D59" s="15" t="s">
        <v>23</v>
      </c>
    </row>
    <row r="60" spans="1:4" x14ac:dyDescent="0.3">
      <c r="A60" s="15">
        <v>105</v>
      </c>
      <c r="B60" s="16">
        <v>38.049999999999997</v>
      </c>
      <c r="C60" s="15">
        <v>4</v>
      </c>
      <c r="D60" s="15" t="s">
        <v>3</v>
      </c>
    </row>
    <row r="61" spans="1:4" x14ac:dyDescent="0.3">
      <c r="A61" s="15">
        <v>106</v>
      </c>
      <c r="B61" s="16">
        <v>12.29</v>
      </c>
      <c r="C61" s="15">
        <v>5</v>
      </c>
      <c r="D61" s="15" t="s">
        <v>4</v>
      </c>
    </row>
    <row r="62" spans="1:4" x14ac:dyDescent="0.3">
      <c r="A62" s="15">
        <v>108</v>
      </c>
      <c r="B62" s="16">
        <v>13.48</v>
      </c>
      <c r="C62" s="15">
        <v>3</v>
      </c>
      <c r="D62" s="15" t="s">
        <v>4</v>
      </c>
    </row>
    <row r="63" spans="1:4" x14ac:dyDescent="0.3">
      <c r="A63" s="15">
        <v>109</v>
      </c>
      <c r="B63" s="16">
        <v>45.7</v>
      </c>
      <c r="C63" s="15">
        <v>2</v>
      </c>
      <c r="D63" s="15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8B83-DB23-4684-B1FB-D5927CB1A4D7}">
  <dimension ref="A1:A110"/>
  <sheetViews>
    <sheetView showGridLines="0" workbookViewId="0"/>
  </sheetViews>
  <sheetFormatPr defaultRowHeight="14.4" x14ac:dyDescent="0.3"/>
  <cols>
    <col min="1" max="1" width="6.33203125" bestFit="1" customWidth="1"/>
  </cols>
  <sheetData>
    <row r="1" spans="1:1" x14ac:dyDescent="0.3">
      <c r="A1" s="6" t="s">
        <v>1</v>
      </c>
    </row>
    <row r="2" spans="1:1" x14ac:dyDescent="0.3">
      <c r="A2">
        <v>1</v>
      </c>
    </row>
    <row r="3" spans="1:1" x14ac:dyDescent="0.3">
      <c r="A3">
        <v>2</v>
      </c>
    </row>
    <row r="4" spans="1:1" x14ac:dyDescent="0.3">
      <c r="A4">
        <v>3</v>
      </c>
    </row>
    <row r="5" spans="1:1" x14ac:dyDescent="0.3">
      <c r="A5">
        <v>4</v>
      </c>
    </row>
    <row r="6" spans="1:1" x14ac:dyDescent="0.3">
      <c r="A6">
        <v>5</v>
      </c>
    </row>
    <row r="7" spans="1:1" x14ac:dyDescent="0.3">
      <c r="A7">
        <v>6</v>
      </c>
    </row>
    <row r="8" spans="1:1" x14ac:dyDescent="0.3">
      <c r="A8">
        <v>7</v>
      </c>
    </row>
    <row r="9" spans="1:1" x14ac:dyDescent="0.3">
      <c r="A9">
        <v>8</v>
      </c>
    </row>
    <row r="10" spans="1:1" x14ac:dyDescent="0.3">
      <c r="A10">
        <v>9</v>
      </c>
    </row>
    <row r="11" spans="1:1" x14ac:dyDescent="0.3">
      <c r="A11">
        <v>10</v>
      </c>
    </row>
    <row r="12" spans="1:1" x14ac:dyDescent="0.3">
      <c r="A12">
        <v>11</v>
      </c>
    </row>
    <row r="13" spans="1:1" x14ac:dyDescent="0.3">
      <c r="A13">
        <v>12</v>
      </c>
    </row>
    <row r="14" spans="1:1" x14ac:dyDescent="0.3">
      <c r="A14">
        <v>13</v>
      </c>
    </row>
    <row r="15" spans="1:1" x14ac:dyDescent="0.3">
      <c r="A15">
        <v>14</v>
      </c>
    </row>
    <row r="16" spans="1:1" x14ac:dyDescent="0.3">
      <c r="A16">
        <v>15</v>
      </c>
    </row>
    <row r="17" spans="1:1" x14ac:dyDescent="0.3">
      <c r="A17">
        <v>16</v>
      </c>
    </row>
    <row r="18" spans="1:1" x14ac:dyDescent="0.3">
      <c r="A18">
        <v>17</v>
      </c>
    </row>
    <row r="19" spans="1:1" x14ac:dyDescent="0.3">
      <c r="A19">
        <v>18</v>
      </c>
    </row>
    <row r="20" spans="1:1" x14ac:dyDescent="0.3">
      <c r="A20">
        <v>19</v>
      </c>
    </row>
    <row r="21" spans="1:1" x14ac:dyDescent="0.3">
      <c r="A21">
        <v>20</v>
      </c>
    </row>
    <row r="22" spans="1:1" x14ac:dyDescent="0.3">
      <c r="A22">
        <v>21</v>
      </c>
    </row>
    <row r="23" spans="1:1" x14ac:dyDescent="0.3">
      <c r="A23">
        <v>22</v>
      </c>
    </row>
    <row r="24" spans="1:1" x14ac:dyDescent="0.3">
      <c r="A24">
        <v>23</v>
      </c>
    </row>
    <row r="25" spans="1:1" x14ac:dyDescent="0.3">
      <c r="A25">
        <v>24</v>
      </c>
    </row>
    <row r="26" spans="1:1" x14ac:dyDescent="0.3">
      <c r="A26">
        <v>25</v>
      </c>
    </row>
    <row r="27" spans="1:1" x14ac:dyDescent="0.3">
      <c r="A27">
        <v>26</v>
      </c>
    </row>
    <row r="28" spans="1:1" x14ac:dyDescent="0.3">
      <c r="A28">
        <v>27</v>
      </c>
    </row>
    <row r="29" spans="1:1" x14ac:dyDescent="0.3">
      <c r="A29">
        <v>28</v>
      </c>
    </row>
    <row r="30" spans="1:1" x14ac:dyDescent="0.3">
      <c r="A30">
        <v>29</v>
      </c>
    </row>
    <row r="31" spans="1:1" x14ac:dyDescent="0.3">
      <c r="A31">
        <v>30</v>
      </c>
    </row>
    <row r="32" spans="1:1" x14ac:dyDescent="0.3">
      <c r="A32">
        <v>31</v>
      </c>
    </row>
    <row r="33" spans="1:1" x14ac:dyDescent="0.3">
      <c r="A33">
        <v>32</v>
      </c>
    </row>
    <row r="34" spans="1:1" x14ac:dyDescent="0.3">
      <c r="A34">
        <v>33</v>
      </c>
    </row>
    <row r="35" spans="1:1" x14ac:dyDescent="0.3">
      <c r="A35">
        <v>34</v>
      </c>
    </row>
    <row r="36" spans="1:1" x14ac:dyDescent="0.3">
      <c r="A36">
        <v>35</v>
      </c>
    </row>
    <row r="37" spans="1:1" x14ac:dyDescent="0.3">
      <c r="A37">
        <v>36</v>
      </c>
    </row>
    <row r="38" spans="1:1" x14ac:dyDescent="0.3">
      <c r="A38">
        <v>37</v>
      </c>
    </row>
    <row r="39" spans="1:1" x14ac:dyDescent="0.3">
      <c r="A39">
        <v>38</v>
      </c>
    </row>
    <row r="40" spans="1:1" x14ac:dyDescent="0.3">
      <c r="A40">
        <v>39</v>
      </c>
    </row>
    <row r="41" spans="1:1" x14ac:dyDescent="0.3">
      <c r="A41">
        <v>40</v>
      </c>
    </row>
    <row r="42" spans="1:1" x14ac:dyDescent="0.3">
      <c r="A42">
        <v>41</v>
      </c>
    </row>
    <row r="43" spans="1:1" x14ac:dyDescent="0.3">
      <c r="A43">
        <v>42</v>
      </c>
    </row>
    <row r="44" spans="1:1" x14ac:dyDescent="0.3">
      <c r="A44">
        <v>43</v>
      </c>
    </row>
    <row r="45" spans="1:1" x14ac:dyDescent="0.3">
      <c r="A45">
        <v>44</v>
      </c>
    </row>
    <row r="46" spans="1:1" x14ac:dyDescent="0.3">
      <c r="A46">
        <v>45</v>
      </c>
    </row>
    <row r="47" spans="1:1" x14ac:dyDescent="0.3">
      <c r="A47">
        <v>46</v>
      </c>
    </row>
    <row r="48" spans="1:1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  <row r="52" spans="1:1" x14ac:dyDescent="0.3">
      <c r="A52">
        <v>51</v>
      </c>
    </row>
    <row r="53" spans="1:1" x14ac:dyDescent="0.3">
      <c r="A53">
        <v>52</v>
      </c>
    </row>
    <row r="54" spans="1:1" x14ac:dyDescent="0.3">
      <c r="A54">
        <v>53</v>
      </c>
    </row>
    <row r="55" spans="1:1" x14ac:dyDescent="0.3">
      <c r="A55">
        <v>54</v>
      </c>
    </row>
    <row r="56" spans="1:1" x14ac:dyDescent="0.3">
      <c r="A56">
        <v>55</v>
      </c>
    </row>
    <row r="57" spans="1:1" x14ac:dyDescent="0.3">
      <c r="A57">
        <v>56</v>
      </c>
    </row>
    <row r="58" spans="1:1" x14ac:dyDescent="0.3">
      <c r="A58">
        <v>57</v>
      </c>
    </row>
    <row r="59" spans="1:1" x14ac:dyDescent="0.3">
      <c r="A59">
        <v>58</v>
      </c>
    </row>
    <row r="60" spans="1:1" x14ac:dyDescent="0.3">
      <c r="A60">
        <v>59</v>
      </c>
    </row>
    <row r="61" spans="1:1" x14ac:dyDescent="0.3">
      <c r="A61">
        <v>60</v>
      </c>
    </row>
    <row r="62" spans="1:1" x14ac:dyDescent="0.3">
      <c r="A62">
        <v>61</v>
      </c>
    </row>
    <row r="63" spans="1:1" x14ac:dyDescent="0.3">
      <c r="A63">
        <v>62</v>
      </c>
    </row>
    <row r="64" spans="1:1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  <row r="102" spans="1:1" x14ac:dyDescent="0.3">
      <c r="A102">
        <v>101</v>
      </c>
    </row>
    <row r="103" spans="1:1" x14ac:dyDescent="0.3">
      <c r="A103">
        <v>102</v>
      </c>
    </row>
    <row r="104" spans="1:1" x14ac:dyDescent="0.3">
      <c r="A104">
        <v>103</v>
      </c>
    </row>
    <row r="105" spans="1:1" x14ac:dyDescent="0.3">
      <c r="A105">
        <v>104</v>
      </c>
    </row>
    <row r="106" spans="1:1" x14ac:dyDescent="0.3">
      <c r="A106">
        <v>105</v>
      </c>
    </row>
    <row r="107" spans="1:1" x14ac:dyDescent="0.3">
      <c r="A107">
        <v>106</v>
      </c>
    </row>
    <row r="108" spans="1:1" x14ac:dyDescent="0.3">
      <c r="A108">
        <v>107</v>
      </c>
    </row>
    <row r="109" spans="1:1" x14ac:dyDescent="0.3">
      <c r="A109">
        <v>108</v>
      </c>
    </row>
    <row r="110" spans="1:1" x14ac:dyDescent="0.3">
      <c r="A110">
        <v>109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CA6E7-6D99-4254-A42F-6F25F283AA79}">
  <dimension ref="A1:A12"/>
  <sheetViews>
    <sheetView showGridLines="0" zoomScale="130" zoomScaleNormal="130" workbookViewId="0">
      <selection activeCell="C8" sqref="C8"/>
    </sheetView>
  </sheetViews>
  <sheetFormatPr defaultColWidth="9.109375" defaultRowHeight="14.4" x14ac:dyDescent="0.3"/>
  <cols>
    <col min="1" max="1" width="9.5546875" style="14" bestFit="1" customWidth="1"/>
    <col min="2" max="16384" width="9.109375" style="9"/>
  </cols>
  <sheetData>
    <row r="1" spans="1:1" x14ac:dyDescent="0.3">
      <c r="A1" s="12" t="s">
        <v>0</v>
      </c>
    </row>
    <row r="2" spans="1:1" x14ac:dyDescent="0.3">
      <c r="A2" s="1" t="s">
        <v>2</v>
      </c>
    </row>
    <row r="3" spans="1:1" x14ac:dyDescent="0.3">
      <c r="A3" s="1" t="s">
        <v>3</v>
      </c>
    </row>
    <row r="4" spans="1:1" x14ac:dyDescent="0.3">
      <c r="A4" s="13" t="s">
        <v>23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27</v>
      </c>
    </row>
    <row r="8" spans="1:1" x14ac:dyDescent="0.3">
      <c r="A8" s="13" t="s">
        <v>24</v>
      </c>
    </row>
    <row r="9" spans="1:1" x14ac:dyDescent="0.3">
      <c r="A9" s="13" t="s">
        <v>12</v>
      </c>
    </row>
    <row r="10" spans="1:1" x14ac:dyDescent="0.3">
      <c r="A10" s="13" t="s">
        <v>26</v>
      </c>
    </row>
    <row r="11" spans="1:1" x14ac:dyDescent="0.3">
      <c r="A11" s="13" t="s">
        <v>25</v>
      </c>
    </row>
    <row r="12" spans="1:1" x14ac:dyDescent="0.3">
      <c r="A12" s="13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A244-B816-48EE-B69B-62DD7DA43DD6}">
  <dimension ref="A1:A12"/>
  <sheetViews>
    <sheetView showGridLines="0" workbookViewId="0"/>
  </sheetViews>
  <sheetFormatPr defaultRowHeight="14.4" x14ac:dyDescent="0.3"/>
  <cols>
    <col min="1" max="1" width="5" bestFit="1" customWidth="1"/>
  </cols>
  <sheetData>
    <row r="1" spans="1:1" x14ac:dyDescent="0.3">
      <c r="A1" s="6" t="s">
        <v>8</v>
      </c>
    </row>
    <row r="2" spans="1:1" x14ac:dyDescent="0.3">
      <c r="A2">
        <v>2015</v>
      </c>
    </row>
    <row r="3" spans="1:1" x14ac:dyDescent="0.3">
      <c r="A3">
        <v>2016</v>
      </c>
    </row>
    <row r="4" spans="1:1" x14ac:dyDescent="0.3">
      <c r="A4">
        <v>2017</v>
      </c>
    </row>
    <row r="5" spans="1:1" x14ac:dyDescent="0.3">
      <c r="A5">
        <v>2018</v>
      </c>
    </row>
    <row r="6" spans="1:1" x14ac:dyDescent="0.3">
      <c r="A6">
        <v>2019</v>
      </c>
    </row>
    <row r="7" spans="1:1" x14ac:dyDescent="0.3">
      <c r="A7">
        <v>2020</v>
      </c>
    </row>
    <row r="8" spans="1:1" x14ac:dyDescent="0.3">
      <c r="A8">
        <v>2021</v>
      </c>
    </row>
    <row r="9" spans="1:1" x14ac:dyDescent="0.3">
      <c r="A9">
        <v>2022</v>
      </c>
    </row>
    <row r="10" spans="1:1" x14ac:dyDescent="0.3">
      <c r="A10">
        <v>2023</v>
      </c>
    </row>
    <row r="11" spans="1:1" x14ac:dyDescent="0.3">
      <c r="A11">
        <v>2024</v>
      </c>
    </row>
    <row r="12" spans="1:1" x14ac:dyDescent="0.3">
      <c r="A12">
        <v>2025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F4E10-56AB-4242-9689-B378C58EF12E}">
  <dimension ref="A1:A20"/>
  <sheetViews>
    <sheetView showGridLines="0" workbookViewId="0">
      <selection activeCell="A16" sqref="A16:XFD16"/>
    </sheetView>
  </sheetViews>
  <sheetFormatPr defaultRowHeight="14.4" x14ac:dyDescent="0.3"/>
  <cols>
    <col min="1" max="1" width="5.6640625" bestFit="1" customWidth="1"/>
  </cols>
  <sheetData>
    <row r="1" spans="1:1" x14ac:dyDescent="0.3">
      <c r="A1" s="6" t="s">
        <v>10</v>
      </c>
    </row>
    <row r="2" spans="1:1" x14ac:dyDescent="0.3">
      <c r="A2" s="1">
        <v>3</v>
      </c>
    </row>
    <row r="3" spans="1:1" x14ac:dyDescent="0.3">
      <c r="A3" s="1">
        <v>5</v>
      </c>
    </row>
    <row r="4" spans="1:1" x14ac:dyDescent="0.3">
      <c r="A4" s="1">
        <v>4</v>
      </c>
    </row>
    <row r="5" spans="1:1" x14ac:dyDescent="0.3">
      <c r="A5" s="1">
        <v>2</v>
      </c>
    </row>
    <row r="6" spans="1:1" x14ac:dyDescent="0.3">
      <c r="A6" s="1">
        <v>1</v>
      </c>
    </row>
    <row r="7" spans="1:1" x14ac:dyDescent="0.3">
      <c r="A7" s="1">
        <v>6</v>
      </c>
    </row>
    <row r="8" spans="1:1" x14ac:dyDescent="0.3">
      <c r="A8" s="1" t="s">
        <v>32</v>
      </c>
    </row>
    <row r="9" spans="1:1" x14ac:dyDescent="0.3">
      <c r="A9" s="1" t="s">
        <v>28</v>
      </c>
    </row>
    <row r="10" spans="1:1" x14ac:dyDescent="0.3">
      <c r="A10" s="1" t="s">
        <v>19</v>
      </c>
    </row>
    <row r="11" spans="1:1" x14ac:dyDescent="0.3">
      <c r="A11" s="1" t="s">
        <v>31</v>
      </c>
    </row>
    <row r="12" spans="1:1" x14ac:dyDescent="0.3">
      <c r="A12" s="1" t="s">
        <v>33</v>
      </c>
    </row>
    <row r="13" spans="1:1" x14ac:dyDescent="0.3">
      <c r="A13" s="1" t="s">
        <v>20</v>
      </c>
    </row>
    <row r="14" spans="1:1" x14ac:dyDescent="0.3">
      <c r="A14" s="1" t="s">
        <v>34</v>
      </c>
    </row>
    <row r="15" spans="1:1" x14ac:dyDescent="0.3">
      <c r="A15" s="1" t="s">
        <v>30</v>
      </c>
    </row>
    <row r="16" spans="1:1" x14ac:dyDescent="0.3">
      <c r="A16" s="1" t="s">
        <v>35</v>
      </c>
    </row>
    <row r="17" spans="1:1" x14ac:dyDescent="0.3">
      <c r="A17" s="1" t="s">
        <v>29</v>
      </c>
    </row>
    <row r="18" spans="1:1" x14ac:dyDescent="0.3">
      <c r="A18" s="1" t="s">
        <v>21</v>
      </c>
    </row>
    <row r="19" spans="1:1" x14ac:dyDescent="0.3">
      <c r="A19" s="1">
        <v>1.5</v>
      </c>
    </row>
    <row r="20" spans="1:1" x14ac:dyDescent="0.3">
      <c r="A20" s="1"/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F918-8302-464A-9067-123879F35F83}">
  <dimension ref="A1:C133"/>
  <sheetViews>
    <sheetView showGridLines="0" workbookViewId="0">
      <selection activeCell="L19" sqref="L19"/>
    </sheetView>
  </sheetViews>
  <sheetFormatPr defaultColWidth="9.109375" defaultRowHeight="14.4" x14ac:dyDescent="0.3"/>
  <cols>
    <col min="1" max="1" width="5.109375" style="10" bestFit="1" customWidth="1"/>
    <col min="2" max="2" width="10.44140625" style="10" bestFit="1" customWidth="1"/>
    <col min="3" max="3" width="28.109375" style="10" bestFit="1" customWidth="1"/>
    <col min="4" max="16384" width="9.109375" style="9"/>
  </cols>
  <sheetData>
    <row r="1" spans="1:3" x14ac:dyDescent="0.3">
      <c r="A1" s="8" t="s">
        <v>36</v>
      </c>
      <c r="B1" s="8" t="s">
        <v>37</v>
      </c>
      <c r="C1" s="8" t="s">
        <v>38</v>
      </c>
    </row>
    <row r="2" spans="1:3" x14ac:dyDescent="0.3">
      <c r="A2" s="10">
        <v>2025</v>
      </c>
      <c r="B2" s="10" t="s">
        <v>39</v>
      </c>
      <c r="C2" s="11">
        <v>259.7</v>
      </c>
    </row>
    <row r="3" spans="1:3" x14ac:dyDescent="0.3">
      <c r="A3" s="10">
        <v>2025</v>
      </c>
      <c r="B3" s="10" t="s">
        <v>40</v>
      </c>
      <c r="C3" s="11">
        <v>77.2</v>
      </c>
    </row>
    <row r="4" spans="1:3" x14ac:dyDescent="0.3">
      <c r="A4" s="10">
        <v>2025</v>
      </c>
      <c r="B4" s="10" t="s">
        <v>41</v>
      </c>
      <c r="C4" s="11">
        <v>144.9</v>
      </c>
    </row>
    <row r="5" spans="1:3" x14ac:dyDescent="0.3">
      <c r="A5" s="10">
        <v>2025</v>
      </c>
      <c r="B5" s="10" t="s">
        <v>42</v>
      </c>
      <c r="C5" s="11">
        <v>153.9</v>
      </c>
    </row>
    <row r="6" spans="1:3" x14ac:dyDescent="0.3">
      <c r="A6" s="10">
        <v>2025</v>
      </c>
      <c r="B6" s="10" t="s">
        <v>43</v>
      </c>
      <c r="C6" s="11">
        <v>8.6</v>
      </c>
    </row>
    <row r="7" spans="1:3" x14ac:dyDescent="0.3">
      <c r="A7" s="10">
        <v>2025</v>
      </c>
      <c r="B7" s="10" t="s">
        <v>44</v>
      </c>
      <c r="C7" s="11">
        <v>20.3</v>
      </c>
    </row>
    <row r="8" spans="1:3" x14ac:dyDescent="0.3">
      <c r="A8" s="10">
        <v>2025</v>
      </c>
      <c r="B8" s="10" t="s">
        <v>45</v>
      </c>
      <c r="C8" s="11">
        <v>6.1</v>
      </c>
    </row>
    <row r="9" spans="1:3" x14ac:dyDescent="0.3">
      <c r="A9" s="10">
        <v>2025</v>
      </c>
      <c r="B9" s="10" t="s">
        <v>46</v>
      </c>
      <c r="C9" s="11">
        <v>6.4</v>
      </c>
    </row>
    <row r="10" spans="1:3" x14ac:dyDescent="0.3">
      <c r="A10" s="10">
        <v>2025</v>
      </c>
      <c r="B10" s="10" t="s">
        <v>47</v>
      </c>
      <c r="C10" s="11">
        <v>43</v>
      </c>
    </row>
    <row r="11" spans="1:3" x14ac:dyDescent="0.3">
      <c r="A11" s="10">
        <v>2025</v>
      </c>
      <c r="B11" s="10" t="s">
        <v>48</v>
      </c>
      <c r="C11" s="11">
        <v>78.5</v>
      </c>
    </row>
    <row r="12" spans="1:3" x14ac:dyDescent="0.3">
      <c r="A12" s="10">
        <v>2025</v>
      </c>
      <c r="B12" s="10" t="s">
        <v>49</v>
      </c>
      <c r="C12" s="11">
        <v>0</v>
      </c>
    </row>
    <row r="13" spans="1:3" x14ac:dyDescent="0.3">
      <c r="A13" s="10">
        <v>2025</v>
      </c>
      <c r="B13" s="10" t="s">
        <v>50</v>
      </c>
      <c r="C13" s="11">
        <v>0</v>
      </c>
    </row>
    <row r="14" spans="1:3" x14ac:dyDescent="0.3">
      <c r="A14" s="10">
        <v>2024</v>
      </c>
      <c r="B14" s="10" t="s">
        <v>39</v>
      </c>
      <c r="C14" s="11">
        <v>178.7</v>
      </c>
    </row>
    <row r="15" spans="1:3" x14ac:dyDescent="0.3">
      <c r="A15" s="10">
        <v>2024</v>
      </c>
      <c r="B15" s="10" t="s">
        <v>40</v>
      </c>
      <c r="C15" s="11">
        <v>245</v>
      </c>
    </row>
    <row r="16" spans="1:3" x14ac:dyDescent="0.3">
      <c r="A16" s="10">
        <v>2024</v>
      </c>
      <c r="B16" s="10" t="s">
        <v>41</v>
      </c>
      <c r="C16" s="11">
        <v>275.3</v>
      </c>
    </row>
    <row r="17" spans="1:3" x14ac:dyDescent="0.3">
      <c r="A17" s="10">
        <v>2024</v>
      </c>
      <c r="B17" s="10" t="s">
        <v>42</v>
      </c>
      <c r="C17" s="11">
        <v>23.3</v>
      </c>
    </row>
    <row r="18" spans="1:3" x14ac:dyDescent="0.3">
      <c r="A18" s="10">
        <v>2024</v>
      </c>
      <c r="B18" s="10" t="s">
        <v>43</v>
      </c>
      <c r="C18" s="11">
        <v>41.5</v>
      </c>
    </row>
    <row r="19" spans="1:3" x14ac:dyDescent="0.3">
      <c r="A19" s="10">
        <v>2024</v>
      </c>
      <c r="B19" s="10" t="s">
        <v>44</v>
      </c>
      <c r="C19" s="11">
        <v>0</v>
      </c>
    </row>
    <row r="20" spans="1:3" x14ac:dyDescent="0.3">
      <c r="A20" s="10">
        <v>2024</v>
      </c>
      <c r="B20" s="10" t="s">
        <v>45</v>
      </c>
      <c r="C20" s="11">
        <v>7.4</v>
      </c>
    </row>
    <row r="21" spans="1:3" x14ac:dyDescent="0.3">
      <c r="A21" s="10">
        <v>2024</v>
      </c>
      <c r="B21" s="10" t="s">
        <v>46</v>
      </c>
      <c r="C21" s="11">
        <v>39.5</v>
      </c>
    </row>
    <row r="22" spans="1:3" x14ac:dyDescent="0.3">
      <c r="A22" s="10">
        <v>2024</v>
      </c>
      <c r="B22" s="10" t="s">
        <v>47</v>
      </c>
      <c r="C22" s="11">
        <v>7.1</v>
      </c>
    </row>
    <row r="23" spans="1:3" x14ac:dyDescent="0.3">
      <c r="A23" s="10">
        <v>2024</v>
      </c>
      <c r="B23" s="10" t="s">
        <v>48</v>
      </c>
      <c r="C23" s="11">
        <v>122</v>
      </c>
    </row>
    <row r="24" spans="1:3" x14ac:dyDescent="0.3">
      <c r="A24" s="10">
        <v>2024</v>
      </c>
      <c r="B24" s="10" t="s">
        <v>49</v>
      </c>
      <c r="C24" s="11">
        <v>206.2</v>
      </c>
    </row>
    <row r="25" spans="1:3" x14ac:dyDescent="0.3">
      <c r="A25" s="10">
        <v>2024</v>
      </c>
      <c r="B25" s="10" t="s">
        <v>50</v>
      </c>
      <c r="C25" s="11">
        <v>363.9</v>
      </c>
    </row>
    <row r="26" spans="1:3" x14ac:dyDescent="0.3">
      <c r="A26" s="10">
        <v>2023</v>
      </c>
      <c r="B26" s="10" t="s">
        <v>39</v>
      </c>
      <c r="C26" s="11">
        <v>317.5</v>
      </c>
    </row>
    <row r="27" spans="1:3" x14ac:dyDescent="0.3">
      <c r="A27" s="10">
        <v>2023</v>
      </c>
      <c r="B27" s="10" t="s">
        <v>40</v>
      </c>
      <c r="C27" s="11">
        <v>236.4</v>
      </c>
    </row>
    <row r="28" spans="1:3" x14ac:dyDescent="0.3">
      <c r="A28" s="10">
        <v>2023</v>
      </c>
      <c r="B28" s="10" t="s">
        <v>41</v>
      </c>
      <c r="C28" s="11">
        <v>275.7</v>
      </c>
    </row>
    <row r="29" spans="1:3" x14ac:dyDescent="0.3">
      <c r="A29" s="10">
        <v>2023</v>
      </c>
      <c r="B29" s="10" t="s">
        <v>42</v>
      </c>
      <c r="C29" s="11">
        <v>137.80000000000001</v>
      </c>
    </row>
    <row r="30" spans="1:3" x14ac:dyDescent="0.3">
      <c r="A30" s="10">
        <v>2023</v>
      </c>
      <c r="B30" s="10" t="s">
        <v>43</v>
      </c>
      <c r="C30" s="11">
        <v>50.3</v>
      </c>
    </row>
    <row r="31" spans="1:3" x14ac:dyDescent="0.3">
      <c r="A31" s="10">
        <v>2023</v>
      </c>
      <c r="B31" s="10" t="s">
        <v>44</v>
      </c>
      <c r="C31" s="11">
        <v>64.900000000000006</v>
      </c>
    </row>
    <row r="32" spans="1:3" x14ac:dyDescent="0.3">
      <c r="A32" s="10">
        <v>2023</v>
      </c>
      <c r="B32" s="10" t="s">
        <v>45</v>
      </c>
      <c r="C32" s="11">
        <v>8.8000000000000007</v>
      </c>
    </row>
    <row r="33" spans="1:3" x14ac:dyDescent="0.3">
      <c r="A33" s="10">
        <v>2023</v>
      </c>
      <c r="B33" s="10" t="s">
        <v>46</v>
      </c>
      <c r="C33" s="11">
        <v>19.899999999999999</v>
      </c>
    </row>
    <row r="34" spans="1:3" x14ac:dyDescent="0.3">
      <c r="A34" s="10">
        <v>2023</v>
      </c>
      <c r="B34" s="10" t="s">
        <v>47</v>
      </c>
      <c r="C34" s="11">
        <v>89.7</v>
      </c>
    </row>
    <row r="35" spans="1:3" x14ac:dyDescent="0.3">
      <c r="A35" s="10">
        <v>2023</v>
      </c>
      <c r="B35" s="10" t="s">
        <v>48</v>
      </c>
      <c r="C35" s="11">
        <v>318.2</v>
      </c>
    </row>
    <row r="36" spans="1:3" x14ac:dyDescent="0.3">
      <c r="A36" s="10">
        <v>2023</v>
      </c>
      <c r="B36" s="10" t="s">
        <v>49</v>
      </c>
      <c r="C36" s="11">
        <v>207.5</v>
      </c>
    </row>
    <row r="37" spans="1:3" x14ac:dyDescent="0.3">
      <c r="A37" s="10">
        <v>2023</v>
      </c>
      <c r="B37" s="10" t="s">
        <v>50</v>
      </c>
      <c r="C37" s="11">
        <v>149.19999999999999</v>
      </c>
    </row>
    <row r="38" spans="1:3" x14ac:dyDescent="0.3">
      <c r="A38" s="10">
        <v>2022</v>
      </c>
      <c r="B38" s="10" t="s">
        <v>39</v>
      </c>
      <c r="C38" s="11">
        <v>328.4</v>
      </c>
    </row>
    <row r="39" spans="1:3" x14ac:dyDescent="0.3">
      <c r="A39" s="10">
        <v>2022</v>
      </c>
      <c r="B39" s="10" t="s">
        <v>40</v>
      </c>
      <c r="C39" s="11">
        <v>181.1</v>
      </c>
    </row>
    <row r="40" spans="1:3" x14ac:dyDescent="0.3">
      <c r="A40" s="10">
        <v>2022</v>
      </c>
      <c r="B40" s="10" t="s">
        <v>41</v>
      </c>
      <c r="C40" s="11">
        <v>57.9</v>
      </c>
    </row>
    <row r="41" spans="1:3" x14ac:dyDescent="0.3">
      <c r="A41" s="10">
        <v>2022</v>
      </c>
      <c r="B41" s="10" t="s">
        <v>42</v>
      </c>
      <c r="C41" s="11">
        <v>100.8</v>
      </c>
    </row>
    <row r="42" spans="1:3" x14ac:dyDescent="0.3">
      <c r="A42" s="10">
        <v>2022</v>
      </c>
      <c r="B42" s="10" t="s">
        <v>43</v>
      </c>
      <c r="C42" s="11">
        <v>49.6</v>
      </c>
    </row>
    <row r="43" spans="1:3" x14ac:dyDescent="0.3">
      <c r="A43" s="10">
        <v>2022</v>
      </c>
      <c r="B43" s="10" t="s">
        <v>44</v>
      </c>
      <c r="C43" s="11">
        <v>7.3</v>
      </c>
    </row>
    <row r="44" spans="1:3" x14ac:dyDescent="0.3">
      <c r="A44" s="10">
        <v>2022</v>
      </c>
      <c r="B44" s="10" t="s">
        <v>45</v>
      </c>
      <c r="C44" s="11">
        <v>0.2</v>
      </c>
    </row>
    <row r="45" spans="1:3" x14ac:dyDescent="0.3">
      <c r="A45" s="10">
        <v>2022</v>
      </c>
      <c r="B45" s="10" t="s">
        <v>46</v>
      </c>
      <c r="C45" s="11">
        <v>37.5</v>
      </c>
    </row>
    <row r="46" spans="1:3" x14ac:dyDescent="0.3">
      <c r="A46" s="10">
        <v>2022</v>
      </c>
      <c r="B46" s="10" t="s">
        <v>47</v>
      </c>
      <c r="C46" s="11">
        <v>91.8</v>
      </c>
    </row>
    <row r="47" spans="1:3" x14ac:dyDescent="0.3">
      <c r="A47" s="10">
        <v>2022</v>
      </c>
      <c r="B47" s="10" t="s">
        <v>48</v>
      </c>
      <c r="C47" s="11">
        <v>152.1</v>
      </c>
    </row>
    <row r="48" spans="1:3" x14ac:dyDescent="0.3">
      <c r="A48" s="10">
        <v>2022</v>
      </c>
      <c r="B48" s="10" t="s">
        <v>49</v>
      </c>
      <c r="C48" s="11">
        <v>194.6</v>
      </c>
    </row>
    <row r="49" spans="1:3" x14ac:dyDescent="0.3">
      <c r="A49" s="10">
        <v>2022</v>
      </c>
      <c r="B49" s="10" t="s">
        <v>50</v>
      </c>
      <c r="C49" s="11">
        <v>312.8</v>
      </c>
    </row>
    <row r="50" spans="1:3" x14ac:dyDescent="0.3">
      <c r="A50" s="10">
        <v>2021</v>
      </c>
      <c r="B50" s="10" t="s">
        <v>39</v>
      </c>
      <c r="C50" s="11">
        <v>140.69999999999999</v>
      </c>
    </row>
    <row r="51" spans="1:3" x14ac:dyDescent="0.3">
      <c r="A51" s="10">
        <v>2021</v>
      </c>
      <c r="B51" s="10" t="s">
        <v>40</v>
      </c>
      <c r="C51" s="11">
        <v>162.69999999999999</v>
      </c>
    </row>
    <row r="52" spans="1:3" x14ac:dyDescent="0.3">
      <c r="A52" s="10">
        <v>2021</v>
      </c>
      <c r="B52" s="10" t="s">
        <v>41</v>
      </c>
      <c r="C52" s="11">
        <v>51</v>
      </c>
    </row>
    <row r="53" spans="1:3" x14ac:dyDescent="0.3">
      <c r="A53" s="10">
        <v>2021</v>
      </c>
      <c r="B53" s="10" t="s">
        <v>42</v>
      </c>
      <c r="C53" s="11">
        <v>6.2</v>
      </c>
    </row>
    <row r="54" spans="1:3" x14ac:dyDescent="0.3">
      <c r="A54" s="10">
        <v>2021</v>
      </c>
      <c r="B54" s="10" t="s">
        <v>43</v>
      </c>
      <c r="C54" s="11">
        <v>13.1</v>
      </c>
    </row>
    <row r="55" spans="1:3" x14ac:dyDescent="0.3">
      <c r="A55" s="10">
        <v>2021</v>
      </c>
      <c r="B55" s="10" t="s">
        <v>44</v>
      </c>
      <c r="C55" s="11">
        <v>28.2</v>
      </c>
    </row>
    <row r="56" spans="1:3" x14ac:dyDescent="0.3">
      <c r="A56" s="10">
        <v>2021</v>
      </c>
      <c r="B56" s="10" t="s">
        <v>45</v>
      </c>
      <c r="C56" s="11">
        <v>23.4</v>
      </c>
    </row>
    <row r="57" spans="1:3" x14ac:dyDescent="0.3">
      <c r="A57" s="10">
        <v>2021</v>
      </c>
      <c r="B57" s="10" t="s">
        <v>46</v>
      </c>
      <c r="C57" s="11">
        <v>7.1</v>
      </c>
    </row>
    <row r="58" spans="1:3" x14ac:dyDescent="0.3">
      <c r="A58" s="10">
        <v>2021</v>
      </c>
      <c r="B58" s="10" t="s">
        <v>47</v>
      </c>
      <c r="C58" s="11">
        <v>3.9</v>
      </c>
    </row>
    <row r="59" spans="1:3" x14ac:dyDescent="0.3">
      <c r="A59" s="10">
        <v>2021</v>
      </c>
      <c r="B59" s="10" t="s">
        <v>48</v>
      </c>
      <c r="C59" s="11">
        <v>297.2</v>
      </c>
    </row>
    <row r="60" spans="1:3" x14ac:dyDescent="0.3">
      <c r="A60" s="10">
        <v>2021</v>
      </c>
      <c r="B60" s="10" t="s">
        <v>49</v>
      </c>
      <c r="C60" s="11">
        <v>148.5</v>
      </c>
    </row>
    <row r="61" spans="1:3" x14ac:dyDescent="0.3">
      <c r="A61" s="10">
        <v>2021</v>
      </c>
      <c r="B61" s="10" t="s">
        <v>50</v>
      </c>
      <c r="C61" s="11">
        <v>134.19999999999999</v>
      </c>
    </row>
    <row r="62" spans="1:3" x14ac:dyDescent="0.3">
      <c r="A62" s="10">
        <v>2020</v>
      </c>
      <c r="B62" s="10" t="s">
        <v>39</v>
      </c>
      <c r="C62" s="11">
        <v>264</v>
      </c>
    </row>
    <row r="63" spans="1:3" x14ac:dyDescent="0.3">
      <c r="A63" s="10">
        <v>2020</v>
      </c>
      <c r="B63" s="10" t="s">
        <v>40</v>
      </c>
      <c r="C63" s="11">
        <v>400</v>
      </c>
    </row>
    <row r="64" spans="1:3" x14ac:dyDescent="0.3">
      <c r="A64" s="10">
        <v>2020</v>
      </c>
      <c r="B64" s="10" t="s">
        <v>41</v>
      </c>
      <c r="C64" s="11">
        <v>133.6</v>
      </c>
    </row>
    <row r="65" spans="1:3" x14ac:dyDescent="0.3">
      <c r="A65" s="10">
        <v>2020</v>
      </c>
      <c r="B65" s="10" t="s">
        <v>42</v>
      </c>
      <c r="C65" s="11">
        <v>1.2</v>
      </c>
    </row>
    <row r="66" spans="1:3" x14ac:dyDescent="0.3">
      <c r="A66" s="10">
        <v>2020</v>
      </c>
      <c r="B66" s="10" t="s">
        <v>43</v>
      </c>
      <c r="C66" s="11">
        <v>17.8</v>
      </c>
    </row>
    <row r="67" spans="1:3" x14ac:dyDescent="0.3">
      <c r="A67" s="10">
        <v>2020</v>
      </c>
      <c r="B67" s="10" t="s">
        <v>44</v>
      </c>
      <c r="C67" s="11">
        <v>46.4</v>
      </c>
    </row>
    <row r="68" spans="1:3" x14ac:dyDescent="0.3">
      <c r="A68" s="10">
        <v>2020</v>
      </c>
      <c r="B68" s="10" t="s">
        <v>45</v>
      </c>
      <c r="C68" s="11">
        <v>10.7</v>
      </c>
    </row>
    <row r="69" spans="1:3" x14ac:dyDescent="0.3">
      <c r="A69" s="10">
        <v>2020</v>
      </c>
      <c r="B69" s="10" t="s">
        <v>46</v>
      </c>
      <c r="C69" s="11">
        <v>28.5</v>
      </c>
    </row>
    <row r="70" spans="1:3" x14ac:dyDescent="0.3">
      <c r="A70" s="10">
        <v>2020</v>
      </c>
      <c r="B70" s="10" t="s">
        <v>47</v>
      </c>
      <c r="C70" s="11">
        <v>18.100000000000001</v>
      </c>
    </row>
    <row r="71" spans="1:3" x14ac:dyDescent="0.3">
      <c r="A71" s="10">
        <v>2020</v>
      </c>
      <c r="B71" s="10" t="s">
        <v>48</v>
      </c>
      <c r="C71" s="11">
        <v>13.1</v>
      </c>
    </row>
    <row r="72" spans="1:3" x14ac:dyDescent="0.3">
      <c r="A72" s="10">
        <v>2020</v>
      </c>
      <c r="B72" s="10" t="s">
        <v>49</v>
      </c>
      <c r="C72" s="11">
        <v>84</v>
      </c>
    </row>
    <row r="73" spans="1:3" x14ac:dyDescent="0.3">
      <c r="A73" s="10">
        <v>2020</v>
      </c>
      <c r="B73" s="10" t="s">
        <v>50</v>
      </c>
      <c r="C73" s="11">
        <v>245.7</v>
      </c>
    </row>
    <row r="74" spans="1:3" x14ac:dyDescent="0.3">
      <c r="A74" s="10">
        <v>2019</v>
      </c>
      <c r="B74" s="10" t="s">
        <v>39</v>
      </c>
      <c r="C74" s="11">
        <v>109.8</v>
      </c>
    </row>
    <row r="75" spans="1:3" x14ac:dyDescent="0.3">
      <c r="A75" s="10">
        <v>2019</v>
      </c>
      <c r="B75" s="10" t="s">
        <v>40</v>
      </c>
      <c r="C75" s="11">
        <v>170.9</v>
      </c>
    </row>
    <row r="76" spans="1:3" x14ac:dyDescent="0.3">
      <c r="A76" s="10">
        <v>2019</v>
      </c>
      <c r="B76" s="10" t="s">
        <v>41</v>
      </c>
      <c r="C76" s="11">
        <v>175.5</v>
      </c>
    </row>
    <row r="77" spans="1:3" x14ac:dyDescent="0.3">
      <c r="A77" s="10">
        <v>2019</v>
      </c>
      <c r="B77" s="10" t="s">
        <v>42</v>
      </c>
      <c r="C77" s="11">
        <v>143.9</v>
      </c>
    </row>
    <row r="78" spans="1:3" x14ac:dyDescent="0.3">
      <c r="A78" s="10">
        <v>2019</v>
      </c>
      <c r="B78" s="10" t="s">
        <v>43</v>
      </c>
      <c r="C78" s="11">
        <v>23.8</v>
      </c>
    </row>
    <row r="79" spans="1:3" x14ac:dyDescent="0.3">
      <c r="A79" s="10">
        <v>2019</v>
      </c>
      <c r="B79" s="10" t="s">
        <v>44</v>
      </c>
      <c r="C79" s="11">
        <v>11.3</v>
      </c>
    </row>
    <row r="80" spans="1:3" x14ac:dyDescent="0.3">
      <c r="A80" s="10">
        <v>2019</v>
      </c>
      <c r="B80" s="10" t="s">
        <v>45</v>
      </c>
      <c r="C80" s="11">
        <v>22.4</v>
      </c>
    </row>
    <row r="81" spans="1:3" x14ac:dyDescent="0.3">
      <c r="A81" s="10">
        <v>2019</v>
      </c>
      <c r="B81" s="10" t="s">
        <v>46</v>
      </c>
      <c r="C81" s="11">
        <v>13.6</v>
      </c>
    </row>
    <row r="82" spans="1:3" x14ac:dyDescent="0.3">
      <c r="A82" s="10">
        <v>2019</v>
      </c>
      <c r="B82" s="10" t="s">
        <v>47</v>
      </c>
      <c r="C82" s="11">
        <v>66.5</v>
      </c>
    </row>
    <row r="83" spans="1:3" x14ac:dyDescent="0.3">
      <c r="A83" s="10">
        <v>2019</v>
      </c>
      <c r="B83" s="10" t="s">
        <v>48</v>
      </c>
      <c r="C83" s="11">
        <v>36</v>
      </c>
    </row>
    <row r="84" spans="1:3" x14ac:dyDescent="0.3">
      <c r="A84" s="10">
        <v>2019</v>
      </c>
      <c r="B84" s="10" t="s">
        <v>49</v>
      </c>
      <c r="C84" s="11">
        <v>223.4</v>
      </c>
    </row>
    <row r="85" spans="1:3" x14ac:dyDescent="0.3">
      <c r="A85" s="10">
        <v>2019</v>
      </c>
      <c r="B85" s="10" t="s">
        <v>50</v>
      </c>
      <c r="C85" s="11">
        <v>232.4</v>
      </c>
    </row>
    <row r="86" spans="1:3" x14ac:dyDescent="0.3">
      <c r="A86" s="10">
        <v>2018</v>
      </c>
      <c r="B86" s="10" t="s">
        <v>39</v>
      </c>
      <c r="C86" s="11">
        <v>204.4</v>
      </c>
    </row>
    <row r="87" spans="1:3" x14ac:dyDescent="0.3">
      <c r="A87" s="10">
        <v>2018</v>
      </c>
      <c r="B87" s="10" t="s">
        <v>40</v>
      </c>
      <c r="C87" s="11">
        <v>103.4</v>
      </c>
    </row>
    <row r="88" spans="1:3" x14ac:dyDescent="0.3">
      <c r="A88" s="10">
        <v>2018</v>
      </c>
      <c r="B88" s="10" t="s">
        <v>41</v>
      </c>
      <c r="C88" s="11">
        <v>78.599999999999994</v>
      </c>
    </row>
    <row r="89" spans="1:3" x14ac:dyDescent="0.3">
      <c r="A89" s="10">
        <v>2018</v>
      </c>
      <c r="B89" s="10" t="s">
        <v>42</v>
      </c>
      <c r="C89" s="11">
        <v>18.7</v>
      </c>
    </row>
    <row r="90" spans="1:3" x14ac:dyDescent="0.3">
      <c r="A90" s="10">
        <v>2018</v>
      </c>
      <c r="B90" s="10" t="s">
        <v>43</v>
      </c>
      <c r="C90" s="11">
        <v>17.399999999999999</v>
      </c>
    </row>
    <row r="91" spans="1:3" x14ac:dyDescent="0.3">
      <c r="A91" s="10">
        <v>2018</v>
      </c>
      <c r="B91" s="10" t="s">
        <v>44</v>
      </c>
      <c r="C91" s="11">
        <v>4.4000000000000004</v>
      </c>
    </row>
    <row r="92" spans="1:3" x14ac:dyDescent="0.3">
      <c r="A92" s="10">
        <v>2018</v>
      </c>
      <c r="B92" s="10" t="s">
        <v>45</v>
      </c>
      <c r="C92" s="11">
        <v>8.9</v>
      </c>
    </row>
    <row r="93" spans="1:3" x14ac:dyDescent="0.3">
      <c r="A93" s="10">
        <v>2018</v>
      </c>
      <c r="B93" s="10" t="s">
        <v>46</v>
      </c>
      <c r="C93" s="11">
        <v>103.1</v>
      </c>
    </row>
    <row r="94" spans="1:3" x14ac:dyDescent="0.3">
      <c r="A94" s="10">
        <v>2018</v>
      </c>
      <c r="B94" s="10" t="s">
        <v>47</v>
      </c>
      <c r="C94" s="11">
        <v>43.4</v>
      </c>
    </row>
    <row r="95" spans="1:3" x14ac:dyDescent="0.3">
      <c r="A95" s="10">
        <v>2018</v>
      </c>
      <c r="B95" s="10" t="s">
        <v>48</v>
      </c>
      <c r="C95" s="11">
        <v>182.3</v>
      </c>
    </row>
    <row r="96" spans="1:3" x14ac:dyDescent="0.3">
      <c r="A96" s="10">
        <v>2018</v>
      </c>
      <c r="B96" s="10" t="s">
        <v>49</v>
      </c>
      <c r="C96" s="11">
        <v>292.60000000000002</v>
      </c>
    </row>
    <row r="97" spans="1:3" x14ac:dyDescent="0.3">
      <c r="A97" s="10">
        <v>2018</v>
      </c>
      <c r="B97" s="10" t="s">
        <v>50</v>
      </c>
      <c r="C97" s="11">
        <v>229.2</v>
      </c>
    </row>
    <row r="98" spans="1:3" x14ac:dyDescent="0.3">
      <c r="A98" s="10">
        <v>2017</v>
      </c>
      <c r="B98" s="10" t="s">
        <v>39</v>
      </c>
      <c r="C98" s="11">
        <v>191.4</v>
      </c>
    </row>
    <row r="99" spans="1:3" x14ac:dyDescent="0.3">
      <c r="A99" s="10">
        <v>2017</v>
      </c>
      <c r="B99" s="10" t="s">
        <v>40</v>
      </c>
      <c r="C99" s="11">
        <v>36.5</v>
      </c>
    </row>
    <row r="100" spans="1:3" x14ac:dyDescent="0.3">
      <c r="A100" s="10">
        <v>2017</v>
      </c>
      <c r="B100" s="10" t="s">
        <v>41</v>
      </c>
      <c r="C100" s="11">
        <v>144.6</v>
      </c>
    </row>
    <row r="101" spans="1:3" x14ac:dyDescent="0.3">
      <c r="A101" s="10">
        <v>2017</v>
      </c>
      <c r="B101" s="10" t="s">
        <v>42</v>
      </c>
      <c r="C101" s="11">
        <v>147.69999999999999</v>
      </c>
    </row>
    <row r="102" spans="1:3" x14ac:dyDescent="0.3">
      <c r="A102" s="10">
        <v>2017</v>
      </c>
      <c r="B102" s="10" t="s">
        <v>43</v>
      </c>
      <c r="C102" s="11">
        <v>128</v>
      </c>
    </row>
    <row r="103" spans="1:3" x14ac:dyDescent="0.3">
      <c r="A103" s="10">
        <v>2017</v>
      </c>
      <c r="B103" s="10" t="s">
        <v>44</v>
      </c>
      <c r="C103" s="11">
        <v>4.8</v>
      </c>
    </row>
    <row r="104" spans="1:3" x14ac:dyDescent="0.3">
      <c r="A104" s="10">
        <v>2017</v>
      </c>
      <c r="B104" s="10" t="s">
        <v>45</v>
      </c>
      <c r="C104" s="11">
        <v>0</v>
      </c>
    </row>
    <row r="105" spans="1:3" x14ac:dyDescent="0.3">
      <c r="A105" s="10">
        <v>2017</v>
      </c>
      <c r="B105" s="10" t="s">
        <v>46</v>
      </c>
      <c r="C105" s="11">
        <v>25</v>
      </c>
    </row>
    <row r="106" spans="1:3" x14ac:dyDescent="0.3">
      <c r="A106" s="10">
        <v>2017</v>
      </c>
      <c r="B106" s="10" t="s">
        <v>47</v>
      </c>
      <c r="C106" s="11">
        <v>16.899999999999999</v>
      </c>
    </row>
    <row r="107" spans="1:3" x14ac:dyDescent="0.3">
      <c r="A107" s="10">
        <v>2017</v>
      </c>
      <c r="B107" s="10" t="s">
        <v>48</v>
      </c>
      <c r="C107" s="11">
        <v>189.4</v>
      </c>
    </row>
    <row r="108" spans="1:3" x14ac:dyDescent="0.3">
      <c r="A108" s="10">
        <v>2017</v>
      </c>
      <c r="B108" s="10" t="s">
        <v>49</v>
      </c>
      <c r="C108" s="11">
        <v>219.4</v>
      </c>
    </row>
    <row r="109" spans="1:3" x14ac:dyDescent="0.3">
      <c r="A109" s="10">
        <v>2017</v>
      </c>
      <c r="B109" s="10" t="s">
        <v>50</v>
      </c>
      <c r="C109" s="11">
        <v>110.1</v>
      </c>
    </row>
    <row r="110" spans="1:3" x14ac:dyDescent="0.3">
      <c r="A110" s="10">
        <v>2016</v>
      </c>
      <c r="B110" s="10" t="s">
        <v>39</v>
      </c>
      <c r="C110" s="11">
        <v>290</v>
      </c>
    </row>
    <row r="111" spans="1:3" x14ac:dyDescent="0.3">
      <c r="A111" s="10">
        <v>2016</v>
      </c>
      <c r="B111" s="10" t="s">
        <v>40</v>
      </c>
      <c r="C111" s="11">
        <v>195.9</v>
      </c>
    </row>
    <row r="112" spans="1:3" x14ac:dyDescent="0.3">
      <c r="A112" s="10">
        <v>2016</v>
      </c>
      <c r="B112" s="10" t="s">
        <v>41</v>
      </c>
      <c r="C112" s="11">
        <v>208.3</v>
      </c>
    </row>
    <row r="113" spans="1:3" x14ac:dyDescent="0.3">
      <c r="A113" s="10">
        <v>2016</v>
      </c>
      <c r="B113" s="10" t="s">
        <v>42</v>
      </c>
      <c r="C113" s="11">
        <v>40.9</v>
      </c>
    </row>
    <row r="114" spans="1:3" x14ac:dyDescent="0.3">
      <c r="A114" s="10">
        <v>2016</v>
      </c>
      <c r="B114" s="10" t="s">
        <v>43</v>
      </c>
      <c r="C114" s="11">
        <v>119.9</v>
      </c>
    </row>
    <row r="115" spans="1:3" x14ac:dyDescent="0.3">
      <c r="A115" s="10">
        <v>2016</v>
      </c>
      <c r="B115" s="10" t="s">
        <v>44</v>
      </c>
      <c r="C115" s="11">
        <v>134.5</v>
      </c>
    </row>
    <row r="116" spans="1:3" x14ac:dyDescent="0.3">
      <c r="A116" s="10">
        <v>2016</v>
      </c>
      <c r="B116" s="10" t="s">
        <v>45</v>
      </c>
      <c r="C116" s="11">
        <v>1.3</v>
      </c>
    </row>
    <row r="117" spans="1:3" x14ac:dyDescent="0.3">
      <c r="A117" s="10">
        <v>2016</v>
      </c>
      <c r="B117" s="10" t="s">
        <v>46</v>
      </c>
      <c r="C117" s="11">
        <v>43.8</v>
      </c>
    </row>
    <row r="118" spans="1:3" x14ac:dyDescent="0.3">
      <c r="A118" s="10">
        <v>2016</v>
      </c>
      <c r="B118" s="10" t="s">
        <v>47</v>
      </c>
      <c r="C118" s="11">
        <v>47.6</v>
      </c>
    </row>
    <row r="119" spans="1:3" x14ac:dyDescent="0.3">
      <c r="A119" s="10">
        <v>2016</v>
      </c>
      <c r="B119" s="10" t="s">
        <v>48</v>
      </c>
      <c r="C119" s="11">
        <v>190.6</v>
      </c>
    </row>
    <row r="120" spans="1:3" x14ac:dyDescent="0.3">
      <c r="A120" s="10">
        <v>2016</v>
      </c>
      <c r="B120" s="10" t="s">
        <v>49</v>
      </c>
      <c r="C120" s="11">
        <v>139.30000000000001</v>
      </c>
    </row>
    <row r="121" spans="1:3" x14ac:dyDescent="0.3">
      <c r="A121" s="10">
        <v>2016</v>
      </c>
      <c r="B121" s="10" t="s">
        <v>50</v>
      </c>
      <c r="C121" s="11">
        <v>143.9</v>
      </c>
    </row>
    <row r="122" spans="1:3" x14ac:dyDescent="0.3">
      <c r="A122" s="10">
        <v>2015</v>
      </c>
      <c r="B122" s="10" t="s">
        <v>39</v>
      </c>
      <c r="C122" s="11">
        <v>83.7</v>
      </c>
    </row>
    <row r="123" spans="1:3" x14ac:dyDescent="0.3">
      <c r="A123" s="10">
        <v>2015</v>
      </c>
      <c r="B123" s="10" t="s">
        <v>40</v>
      </c>
      <c r="C123" s="11">
        <v>271.8</v>
      </c>
    </row>
    <row r="124" spans="1:3" x14ac:dyDescent="0.3">
      <c r="A124" s="10">
        <v>2015</v>
      </c>
      <c r="B124" s="10" t="s">
        <v>41</v>
      </c>
      <c r="C124" s="11">
        <v>151.6</v>
      </c>
    </row>
    <row r="125" spans="1:3" x14ac:dyDescent="0.3">
      <c r="A125" s="10">
        <v>2015</v>
      </c>
      <c r="B125" s="10" t="s">
        <v>42</v>
      </c>
      <c r="C125" s="11">
        <v>60.1</v>
      </c>
    </row>
    <row r="126" spans="1:3" x14ac:dyDescent="0.3">
      <c r="A126" s="10">
        <v>2015</v>
      </c>
      <c r="B126" s="10" t="s">
        <v>43</v>
      </c>
      <c r="C126" s="11">
        <v>104.4</v>
      </c>
    </row>
    <row r="127" spans="1:3" x14ac:dyDescent="0.3">
      <c r="A127" s="10">
        <v>2015</v>
      </c>
      <c r="B127" s="10" t="s">
        <v>44</v>
      </c>
      <c r="C127" s="11">
        <v>35.700000000000003</v>
      </c>
    </row>
    <row r="128" spans="1:3" x14ac:dyDescent="0.3">
      <c r="A128" s="10">
        <v>2015</v>
      </c>
      <c r="B128" s="10" t="s">
        <v>45</v>
      </c>
      <c r="C128" s="11">
        <v>23.9</v>
      </c>
    </row>
    <row r="129" spans="1:3" x14ac:dyDescent="0.3">
      <c r="A129" s="10">
        <v>2015</v>
      </c>
      <c r="B129" s="10" t="s">
        <v>46</v>
      </c>
      <c r="C129" s="11">
        <v>19.3</v>
      </c>
    </row>
    <row r="130" spans="1:3" x14ac:dyDescent="0.3">
      <c r="A130" s="10">
        <v>2015</v>
      </c>
      <c r="B130" s="10" t="s">
        <v>47</v>
      </c>
      <c r="C130" s="11">
        <v>182.4</v>
      </c>
    </row>
    <row r="131" spans="1:3" x14ac:dyDescent="0.3">
      <c r="A131" s="10">
        <v>2015</v>
      </c>
      <c r="B131" s="10" t="s">
        <v>48</v>
      </c>
      <c r="C131" s="11">
        <v>60.7</v>
      </c>
    </row>
    <row r="132" spans="1:3" x14ac:dyDescent="0.3">
      <c r="A132" s="10">
        <v>2015</v>
      </c>
      <c r="B132" s="10" t="s">
        <v>49</v>
      </c>
      <c r="C132" s="11">
        <v>239.3</v>
      </c>
    </row>
    <row r="133" spans="1:3" x14ac:dyDescent="0.3">
      <c r="A133" s="10">
        <v>2015</v>
      </c>
      <c r="B133" s="10" t="s">
        <v>50</v>
      </c>
      <c r="C133" s="11">
        <v>270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EB77-E4AE-4555-A728-0B91FE7AFAF2}">
  <dimension ref="A1:B12"/>
  <sheetViews>
    <sheetView showGridLines="0" workbookViewId="0">
      <selection activeCell="G10" sqref="G10"/>
    </sheetView>
  </sheetViews>
  <sheetFormatPr defaultRowHeight="14.4" x14ac:dyDescent="0.3"/>
  <cols>
    <col min="1" max="1" width="5" style="10" bestFit="1" customWidth="1"/>
    <col min="2" max="2" width="13.6640625" style="10" bestFit="1" customWidth="1"/>
  </cols>
  <sheetData>
    <row r="1" spans="1:2" x14ac:dyDescent="0.3">
      <c r="A1" s="8" t="s">
        <v>36</v>
      </c>
      <c r="B1" s="8" t="s">
        <v>51</v>
      </c>
    </row>
    <row r="2" spans="1:2" x14ac:dyDescent="0.3">
      <c r="A2" s="10">
        <v>2015</v>
      </c>
      <c r="B2" s="10">
        <v>0.55520000000000003</v>
      </c>
    </row>
    <row r="3" spans="1:2" x14ac:dyDescent="0.3">
      <c r="A3" s="10">
        <v>2016</v>
      </c>
      <c r="B3" s="10">
        <v>0.68389999999999995</v>
      </c>
    </row>
    <row r="4" spans="1:2" x14ac:dyDescent="0.3">
      <c r="A4" s="10">
        <v>2017</v>
      </c>
      <c r="B4" s="10">
        <v>0.59009999999999996</v>
      </c>
    </row>
    <row r="5" spans="1:2" x14ac:dyDescent="0.3">
      <c r="A5" s="10">
        <v>2018</v>
      </c>
      <c r="B5" s="10">
        <v>0.58260000000000001</v>
      </c>
    </row>
    <row r="6" spans="1:2" x14ac:dyDescent="0.3">
      <c r="A6" s="10">
        <v>2019</v>
      </c>
      <c r="B6" s="10">
        <v>0.65790000000000004</v>
      </c>
    </row>
    <row r="7" spans="1:2" x14ac:dyDescent="0.3">
      <c r="A7" s="10">
        <v>2020</v>
      </c>
      <c r="B7" s="10">
        <v>0.77829999999999999</v>
      </c>
    </row>
    <row r="8" spans="1:2" x14ac:dyDescent="0.3">
      <c r="A8" s="10">
        <v>2021</v>
      </c>
      <c r="B8" s="10">
        <v>1.1792</v>
      </c>
    </row>
    <row r="9" spans="1:2" x14ac:dyDescent="0.3">
      <c r="A9" s="10">
        <v>2022</v>
      </c>
      <c r="B9" s="10">
        <v>1.1707000000000001</v>
      </c>
    </row>
    <row r="10" spans="1:2" x14ac:dyDescent="0.3">
      <c r="A10" s="10">
        <v>2023</v>
      </c>
      <c r="B10" s="10">
        <v>1.2028000000000001</v>
      </c>
    </row>
    <row r="11" spans="1:2" x14ac:dyDescent="0.3">
      <c r="A11" s="10">
        <v>2024</v>
      </c>
      <c r="B11" s="10">
        <v>1.1926000000000001</v>
      </c>
    </row>
    <row r="12" spans="1:2" x14ac:dyDescent="0.3">
      <c r="A12" s="10">
        <v>2025</v>
      </c>
      <c r="B12" s="10">
        <v>1.07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ef6f789-57f9-4e59-aa4a-cd15f71f422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5C067DE259F44BBE6385166EE14E35" ma:contentTypeVersion="12" ma:contentTypeDescription="Crie um novo documento." ma:contentTypeScope="" ma:versionID="e0b858a09c7922bcf5eecab13fb6d744">
  <xsd:schema xmlns:xsd="http://www.w3.org/2001/XMLSchema" xmlns:xs="http://www.w3.org/2001/XMLSchema" xmlns:p="http://schemas.microsoft.com/office/2006/metadata/properties" xmlns:ns3="6ef6f789-57f9-4e59-aa4a-cd15f71f422b" targetNamespace="http://schemas.microsoft.com/office/2006/metadata/properties" ma:root="true" ma:fieldsID="8c891a16625b915cd9948935273f536c" ns3:_="">
    <xsd:import namespace="6ef6f789-57f9-4e59-aa4a-cd15f71f422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f6f789-57f9-4e59-aa4a-cd15f71f42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29DE72-183E-4476-9953-6132ACCD11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0E28E0-CB13-460D-B163-C424E3E58002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6ef6f789-57f9-4e59-aa4a-cd15f71f422b"/>
    <ds:schemaRef ds:uri="http://schemas.openxmlformats.org/package/2006/metadata/core-properties"/>
    <ds:schemaRef ds:uri="http://purl.org/dc/terms/"/>
    <ds:schemaRef ds:uri="http://purl.org/dc/dcmitype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B7CBF56-A92F-43B0-98DD-2305956579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f6f789-57f9-4e59-aa4a-cd15f71f42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Colheita Base</vt:lpstr>
      <vt:lpstr>Talhao Dados</vt:lpstr>
      <vt:lpstr>Talhão Base</vt:lpstr>
      <vt:lpstr>Variedade</vt:lpstr>
      <vt:lpstr>Ano base</vt:lpstr>
      <vt:lpstr>Corte Base</vt:lpstr>
      <vt:lpstr>Índice Pluviométrico</vt:lpstr>
      <vt:lpstr>ATR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Iago Ramos</dc:creator>
  <cp:lastModifiedBy>Iago Ramos</cp:lastModifiedBy>
  <dcterms:created xsi:type="dcterms:W3CDTF">2025-10-17T17:31:27Z</dcterms:created>
  <dcterms:modified xsi:type="dcterms:W3CDTF">2026-07-25T20:29:11Z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0x010100BA5C067DE259F44BBE6385166EE14E35</vt:lpwstr>
  </property>
</Properties>
</file>